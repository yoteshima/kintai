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ro\Google ドライブ\00_taro\00_ジョブクラウン\21_ポータルサイト\勤怠管理用システム開発\kintai_project\kintai\static\excel\"/>
    </mc:Choice>
  </mc:AlternateContent>
  <xr:revisionPtr revIDLastSave="0" documentId="13_ncr:1_{CBACAF9F-14DA-45EC-87B6-455FEF83C01F}" xr6:coauthVersionLast="44" xr6:coauthVersionMax="44" xr10:uidLastSave="{00000000-0000-0000-0000-000000000000}"/>
  <bookViews>
    <workbookView xWindow="-120" yWindow="-120" windowWidth="20730" windowHeight="11160" activeTab="1" xr2:uid="{00000000-000D-0000-FFFF-FFFF00000000}"/>
  </bookViews>
  <sheets>
    <sheet name="実績表_サンプル" sheetId="1" r:id="rId1"/>
    <sheet name="実績表" sheetId="2" r:id="rId2"/>
  </sheets>
  <definedNames>
    <definedName name="_xlnm._FilterDatabase" localSheetId="1" hidden="1">実績表!$A$9:$AZ$44</definedName>
    <definedName name="_xlnm.Print_Area" localSheetId="1">実績表!$A$1:$AZ$44</definedName>
    <definedName name="_xlnm.Print_Area" localSheetId="0">実績表_サンプル!$A$1:$BB$43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B25" i="2" l="1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E42" i="2" l="1"/>
  <c r="S42" i="2"/>
  <c r="V42" i="2" s="1"/>
  <c r="Y42" i="2" s="1"/>
  <c r="AE41" i="2"/>
  <c r="S41" i="2"/>
  <c r="V41" i="2" s="1"/>
  <c r="Y41" i="2" s="1"/>
  <c r="AE40" i="2"/>
  <c r="S40" i="2"/>
  <c r="V40" i="2" s="1"/>
  <c r="Y40" i="2" s="1"/>
  <c r="AE39" i="2"/>
  <c r="S39" i="2"/>
  <c r="V39" i="2" s="1"/>
  <c r="Y39" i="2" s="1"/>
  <c r="AE38" i="2"/>
  <c r="S38" i="2"/>
  <c r="V38" i="2" s="1"/>
  <c r="Y38" i="2" s="1"/>
  <c r="AE37" i="2"/>
  <c r="S37" i="2"/>
  <c r="V37" i="2" s="1"/>
  <c r="Y37" i="2" s="1"/>
  <c r="AE36" i="2"/>
  <c r="S36" i="2"/>
  <c r="V36" i="2" s="1"/>
  <c r="Y36" i="2" s="1"/>
  <c r="AE35" i="2"/>
  <c r="S35" i="2"/>
  <c r="V35" i="2" s="1"/>
  <c r="Y35" i="2" s="1"/>
  <c r="AE34" i="2"/>
  <c r="S34" i="2"/>
  <c r="V34" i="2" s="1"/>
  <c r="Y34" i="2" s="1"/>
  <c r="AE33" i="2"/>
  <c r="S33" i="2"/>
  <c r="V33" i="2" s="1"/>
  <c r="Y33" i="2" s="1"/>
  <c r="AE32" i="2"/>
  <c r="S32" i="2"/>
  <c r="V32" i="2" s="1"/>
  <c r="Y32" i="2" s="1"/>
  <c r="AE31" i="2"/>
  <c r="S31" i="2"/>
  <c r="V31" i="2" s="1"/>
  <c r="Y31" i="2" s="1"/>
  <c r="AE30" i="2"/>
  <c r="S30" i="2"/>
  <c r="V30" i="2" s="1"/>
  <c r="Y30" i="2" s="1"/>
  <c r="AE29" i="2"/>
  <c r="S29" i="2"/>
  <c r="V29" i="2" s="1"/>
  <c r="Y29" i="2" s="1"/>
  <c r="S28" i="2"/>
  <c r="V28" i="2" s="1"/>
  <c r="AE27" i="2"/>
  <c r="S27" i="2"/>
  <c r="V27" i="2" s="1"/>
  <c r="Y27" i="2" s="1"/>
  <c r="AE26" i="2"/>
  <c r="S26" i="2"/>
  <c r="V26" i="2" s="1"/>
  <c r="Y26" i="2" s="1"/>
  <c r="AE25" i="2"/>
  <c r="S25" i="2"/>
  <c r="V25" i="2" s="1"/>
  <c r="Y25" i="2" s="1"/>
  <c r="AE24" i="2"/>
  <c r="S24" i="2"/>
  <c r="V24" i="2" s="1"/>
  <c r="Y24" i="2" s="1"/>
  <c r="AE23" i="2"/>
  <c r="S23" i="2"/>
  <c r="V23" i="2" s="1"/>
  <c r="Y23" i="2" s="1"/>
  <c r="AE22" i="2"/>
  <c r="S22" i="2"/>
  <c r="V22" i="2" s="1"/>
  <c r="Y22" i="2" s="1"/>
  <c r="AE21" i="2"/>
  <c r="S21" i="2"/>
  <c r="V21" i="2" s="1"/>
  <c r="Y21" i="2" s="1"/>
  <c r="AE20" i="2"/>
  <c r="S20" i="2"/>
  <c r="V20" i="2" s="1"/>
  <c r="Y20" i="2" s="1"/>
  <c r="AE19" i="2"/>
  <c r="S19" i="2"/>
  <c r="V19" i="2" s="1"/>
  <c r="Y19" i="2" s="1"/>
  <c r="AE18" i="2"/>
  <c r="S18" i="2"/>
  <c r="V18" i="2" s="1"/>
  <c r="Y18" i="2" s="1"/>
  <c r="AE17" i="2"/>
  <c r="S17" i="2"/>
  <c r="V17" i="2" s="1"/>
  <c r="Y17" i="2" s="1"/>
  <c r="AE16" i="2"/>
  <c r="S16" i="2"/>
  <c r="V16" i="2" s="1"/>
  <c r="Y16" i="2" s="1"/>
  <c r="AE15" i="2"/>
  <c r="S15" i="2"/>
  <c r="V15" i="2" s="1"/>
  <c r="Y15" i="2" s="1"/>
  <c r="AE14" i="2"/>
  <c r="S14" i="2"/>
  <c r="V14" i="2" s="1"/>
  <c r="Y14" i="2" s="1"/>
  <c r="AE13" i="2"/>
  <c r="S13" i="2"/>
  <c r="AE12" i="2"/>
  <c r="S12" i="2"/>
  <c r="V12" i="2" s="1"/>
  <c r="A12" i="2"/>
  <c r="C12" i="2" s="1"/>
  <c r="AQ5" i="2"/>
  <c r="J3" i="2"/>
  <c r="A13" i="2" l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V13" i="2"/>
  <c r="V43" i="2" s="1"/>
  <c r="AH44" i="2" s="1"/>
  <c r="S43" i="2"/>
  <c r="AB43" i="2"/>
  <c r="Y12" i="2"/>
  <c r="Y28" i="2"/>
  <c r="AE28" i="2"/>
  <c r="AE43" i="2" s="1"/>
  <c r="S13" i="1"/>
  <c r="V13" i="1" s="1"/>
  <c r="Y13" i="1" s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12" i="1"/>
  <c r="AB11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8" i="1"/>
  <c r="AE29" i="1"/>
  <c r="AE30" i="1"/>
  <c r="AE31" i="1"/>
  <c r="AE32" i="1"/>
  <c r="AE33" i="1"/>
  <c r="AE35" i="1"/>
  <c r="AE36" i="1"/>
  <c r="AE37" i="1"/>
  <c r="AE38" i="1"/>
  <c r="AE39" i="1"/>
  <c r="AE40" i="1"/>
  <c r="AE41" i="1"/>
  <c r="AE12" i="1"/>
  <c r="AE11" i="1"/>
  <c r="Y13" i="2" l="1"/>
  <c r="Y43" i="2" s="1"/>
  <c r="C13" i="2"/>
  <c r="A11" i="1"/>
  <c r="C11" i="1" s="1"/>
  <c r="AQ6" i="1"/>
  <c r="AQ5" i="1"/>
  <c r="J3" i="1"/>
  <c r="S14" i="1"/>
  <c r="V14" i="1" s="1"/>
  <c r="Y14" i="1" s="1"/>
  <c r="S15" i="1"/>
  <c r="V15" i="1" s="1"/>
  <c r="Y15" i="1" s="1"/>
  <c r="S16" i="1"/>
  <c r="V16" i="1" s="1"/>
  <c r="Y16" i="1" s="1"/>
  <c r="S17" i="1"/>
  <c r="V17" i="1" s="1"/>
  <c r="Y17" i="1" s="1"/>
  <c r="S18" i="1"/>
  <c r="V18" i="1" s="1"/>
  <c r="Y18" i="1" s="1"/>
  <c r="S19" i="1"/>
  <c r="V19" i="1" s="1"/>
  <c r="Y19" i="1" s="1"/>
  <c r="S20" i="1"/>
  <c r="V20" i="1" s="1"/>
  <c r="Y20" i="1" s="1"/>
  <c r="S21" i="1"/>
  <c r="V21" i="1" s="1"/>
  <c r="Y21" i="1" s="1"/>
  <c r="S22" i="1"/>
  <c r="V22" i="1" s="1"/>
  <c r="Y22" i="1" s="1"/>
  <c r="S23" i="1"/>
  <c r="V23" i="1" s="1"/>
  <c r="Y23" i="1" s="1"/>
  <c r="S24" i="1"/>
  <c r="S25" i="1"/>
  <c r="V25" i="1" s="1"/>
  <c r="Y25" i="1" s="1"/>
  <c r="S26" i="1"/>
  <c r="V26" i="1" s="1"/>
  <c r="Y26" i="1" s="1"/>
  <c r="S27" i="1"/>
  <c r="V27" i="1" s="1"/>
  <c r="S28" i="1"/>
  <c r="V28" i="1" s="1"/>
  <c r="Y28" i="1" s="1"/>
  <c r="S29" i="1"/>
  <c r="V29" i="1" s="1"/>
  <c r="Y29" i="1" s="1"/>
  <c r="S30" i="1"/>
  <c r="V30" i="1" s="1"/>
  <c r="Y30" i="1" s="1"/>
  <c r="S31" i="1"/>
  <c r="V31" i="1" s="1"/>
  <c r="Y31" i="1" s="1"/>
  <c r="S32" i="1"/>
  <c r="V32" i="1" s="1"/>
  <c r="Y32" i="1" s="1"/>
  <c r="S33" i="1"/>
  <c r="V33" i="1" s="1"/>
  <c r="Y33" i="1" s="1"/>
  <c r="S34" i="1"/>
  <c r="V34" i="1" s="1"/>
  <c r="S35" i="1"/>
  <c r="V35" i="1" s="1"/>
  <c r="Y35" i="1" s="1"/>
  <c r="S36" i="1"/>
  <c r="V36" i="1" s="1"/>
  <c r="Y36" i="1" s="1"/>
  <c r="S37" i="1"/>
  <c r="V37" i="1" s="1"/>
  <c r="Y37" i="1" s="1"/>
  <c r="S38" i="1"/>
  <c r="V38" i="1" s="1"/>
  <c r="Y38" i="1" s="1"/>
  <c r="S39" i="1"/>
  <c r="V39" i="1" s="1"/>
  <c r="Y39" i="1" s="1"/>
  <c r="S40" i="1"/>
  <c r="V40" i="1" s="1"/>
  <c r="Y40" i="1" s="1"/>
  <c r="S41" i="1"/>
  <c r="V41" i="1" s="1"/>
  <c r="Y41" i="1" s="1"/>
  <c r="S12" i="1"/>
  <c r="V12" i="1" s="1"/>
  <c r="Y12" i="1" s="1"/>
  <c r="S11" i="1"/>
  <c r="V11" i="1" s="1"/>
  <c r="Y11" i="1" s="1"/>
  <c r="C14" i="2" l="1"/>
  <c r="Y34" i="1"/>
  <c r="AE34" i="1"/>
  <c r="AE27" i="1"/>
  <c r="Y27" i="1"/>
  <c r="V24" i="1"/>
  <c r="Y24" i="1" s="1"/>
  <c r="S42" i="1"/>
  <c r="A12" i="1"/>
  <c r="C12" i="1" s="1"/>
  <c r="C15" i="2" l="1"/>
  <c r="AE42" i="1"/>
  <c r="A13" i="1"/>
  <c r="C16" i="2" l="1"/>
  <c r="A14" i="1"/>
  <c r="C13" i="1"/>
  <c r="V42" i="1"/>
  <c r="AH43" i="1" s="1"/>
  <c r="C17" i="2" l="1"/>
  <c r="A15" i="1"/>
  <c r="C14" i="1"/>
  <c r="C18" i="2" l="1"/>
  <c r="A16" i="1"/>
  <c r="C15" i="1"/>
  <c r="C19" i="2" l="1"/>
  <c r="A17" i="1"/>
  <c r="C16" i="1"/>
  <c r="C20" i="2" l="1"/>
  <c r="A18" i="1"/>
  <c r="C17" i="1"/>
  <c r="C21" i="2" l="1"/>
  <c r="A19" i="1"/>
  <c r="C18" i="1"/>
  <c r="C22" i="2" l="1"/>
  <c r="A20" i="1"/>
  <c r="C19" i="1"/>
  <c r="C23" i="2" l="1"/>
  <c r="A21" i="1"/>
  <c r="C20" i="1"/>
  <c r="C24" i="2" l="1"/>
  <c r="A22" i="1"/>
  <c r="C21" i="1"/>
  <c r="C25" i="2" l="1"/>
  <c r="A23" i="1"/>
  <c r="C22" i="1"/>
  <c r="C26" i="2" l="1"/>
  <c r="A24" i="1"/>
  <c r="C23" i="1"/>
  <c r="C27" i="2" l="1"/>
  <c r="A25" i="1"/>
  <c r="C24" i="1"/>
  <c r="C28" i="2" l="1"/>
  <c r="A26" i="1"/>
  <c r="C25" i="1"/>
  <c r="C29" i="2" l="1"/>
  <c r="A27" i="1"/>
  <c r="C26" i="1"/>
  <c r="C30" i="2" l="1"/>
  <c r="A28" i="1"/>
  <c r="C27" i="1"/>
  <c r="C31" i="2" l="1"/>
  <c r="A29" i="1"/>
  <c r="C28" i="1"/>
  <c r="C32" i="2" l="1"/>
  <c r="A30" i="1"/>
  <c r="C29" i="1"/>
  <c r="C33" i="2" l="1"/>
  <c r="A31" i="1"/>
  <c r="C30" i="1"/>
  <c r="C34" i="2" l="1"/>
  <c r="A32" i="1"/>
  <c r="C31" i="1"/>
  <c r="C35" i="2" l="1"/>
  <c r="A33" i="1"/>
  <c r="C32" i="1"/>
  <c r="C36" i="2" l="1"/>
  <c r="A34" i="1"/>
  <c r="C33" i="1"/>
  <c r="C37" i="2" l="1"/>
  <c r="A35" i="1"/>
  <c r="C34" i="1"/>
  <c r="C38" i="2" l="1"/>
  <c r="A36" i="1"/>
  <c r="C35" i="1"/>
  <c r="C39" i="2" l="1"/>
  <c r="A37" i="1"/>
  <c r="C36" i="1"/>
  <c r="C40" i="2" l="1"/>
  <c r="A38" i="1"/>
  <c r="C37" i="1"/>
  <c r="C41" i="2" l="1"/>
  <c r="C42" i="2"/>
  <c r="A39" i="1"/>
  <c r="C38" i="1"/>
  <c r="AQ6" i="2" l="1"/>
  <c r="A40" i="1"/>
  <c r="C39" i="1"/>
  <c r="A41" i="1" l="1"/>
  <c r="C41" i="1" s="1"/>
  <c r="C40" i="1"/>
  <c r="AB42" i="1"/>
  <c r="Y42" i="1"/>
</calcChain>
</file>

<file path=xl/sharedStrings.xml><?xml version="1.0" encoding="utf-8"?>
<sst xmlns="http://schemas.openxmlformats.org/spreadsheetml/2006/main" count="113" uniqueCount="53">
  <si>
    <t>作 業 実 績 記 録 表</t>
    <phoneticPr fontId="1"/>
  </si>
  <si>
    <t>出 勤 日 数</t>
    <rPh sb="0" eb="1">
      <t>デ</t>
    </rPh>
    <rPh sb="2" eb="3">
      <t>ツトム</t>
    </rPh>
    <rPh sb="4" eb="5">
      <t>ヒ</t>
    </rPh>
    <rPh sb="6" eb="7">
      <t>カズ</t>
    </rPh>
    <phoneticPr fontId="2"/>
  </si>
  <si>
    <t>日</t>
    <phoneticPr fontId="1"/>
  </si>
  <si>
    <t>休 日 日 数</t>
    <rPh sb="0" eb="1">
      <t>キュウ</t>
    </rPh>
    <rPh sb="2" eb="3">
      <t>ヒ</t>
    </rPh>
    <rPh sb="4" eb="5">
      <t>ヒ</t>
    </rPh>
    <rPh sb="6" eb="7">
      <t>カズ</t>
    </rPh>
    <phoneticPr fontId="2"/>
  </si>
  <si>
    <t>項目</t>
  </si>
  <si>
    <t>作業時間</t>
  </si>
  <si>
    <t>延時間</t>
  </si>
  <si>
    <t>日</t>
    <phoneticPr fontId="9"/>
  </si>
  <si>
    <t>曜日</t>
    <rPh sb="0" eb="2">
      <t>ヨウビ</t>
    </rPh>
    <phoneticPr fontId="9"/>
  </si>
  <si>
    <t>計</t>
  </si>
  <si>
    <t>プロジェクト名</t>
    <rPh sb="6" eb="7">
      <t>メイ</t>
    </rPh>
    <phoneticPr fontId="2"/>
  </si>
  <si>
    <t>氏　　　名</t>
    <rPh sb="0" eb="1">
      <t>シ</t>
    </rPh>
    <rPh sb="4" eb="5">
      <t>メイ</t>
    </rPh>
    <phoneticPr fontId="2"/>
  </si>
  <si>
    <t>種田　昌三</t>
    <rPh sb="0" eb="2">
      <t>タネダ</t>
    </rPh>
    <rPh sb="3" eb="5">
      <t>ショウゾウ</t>
    </rPh>
    <phoneticPr fontId="1"/>
  </si>
  <si>
    <t>始業</t>
    <rPh sb="0" eb="2">
      <t>シギョウ</t>
    </rPh>
    <phoneticPr fontId="1"/>
  </si>
  <si>
    <t>時分</t>
    <rPh sb="0" eb="2">
      <t>ジフン</t>
    </rPh>
    <phoneticPr fontId="1"/>
  </si>
  <si>
    <t>就業</t>
    <rPh sb="0" eb="2">
      <t>シュウギョウ</t>
    </rPh>
    <phoneticPr fontId="1"/>
  </si>
  <si>
    <t>休憩</t>
    <rPh sb="0" eb="2">
      <t>キュウケイ</t>
    </rPh>
    <phoneticPr fontId="1"/>
  </si>
  <si>
    <t>合計</t>
    <rPh sb="0" eb="2">
      <t>ゴウケイ</t>
    </rPh>
    <phoneticPr fontId="1"/>
  </si>
  <si>
    <t>遅刻</t>
  </si>
  <si>
    <t>有給</t>
  </si>
  <si>
    <t>遅刻
休み</t>
    <rPh sb="0" eb="2">
      <t>チコク</t>
    </rPh>
    <rPh sb="3" eb="4">
      <t>ヤス</t>
    </rPh>
    <phoneticPr fontId="1"/>
  </si>
  <si>
    <t>早退</t>
  </si>
  <si>
    <t>休日出勤</t>
  </si>
  <si>
    <t>代休</t>
  </si>
  <si>
    <t>休日
出勤</t>
    <rPh sb="0" eb="2">
      <t>キュウジツ</t>
    </rPh>
    <rPh sb="3" eb="5">
      <t>シュッキン</t>
    </rPh>
    <phoneticPr fontId="1"/>
  </si>
  <si>
    <t>深夜
作業</t>
    <rPh sb="0" eb="2">
      <t>シンヤ</t>
    </rPh>
    <rPh sb="3" eb="5">
      <t>サギョウ</t>
    </rPh>
    <phoneticPr fontId="1"/>
  </si>
  <si>
    <t>残業
時間</t>
    <rPh sb="0" eb="2">
      <t>ザンギョウ</t>
    </rPh>
    <rPh sb="3" eb="5">
      <t>ジカン</t>
    </rPh>
    <phoneticPr fontId="1"/>
  </si>
  <si>
    <t>社内研修</t>
    <rPh sb="0" eb="1">
      <t>シャナイ</t>
    </rPh>
    <rPh sb="1" eb="3">
      <t>ケンシュウ</t>
    </rPh>
    <phoneticPr fontId="1"/>
  </si>
  <si>
    <t>欠勤</t>
  </si>
  <si>
    <t>シフト出勤</t>
  </si>
  <si>
    <t>シフト休</t>
  </si>
  <si>
    <t>祝日</t>
  </si>
  <si>
    <t>備考</t>
    <rPh sb="0" eb="2">
      <t>ビコウ</t>
    </rPh>
    <phoneticPr fontId="1"/>
  </si>
  <si>
    <t>全休</t>
    <phoneticPr fontId="1"/>
  </si>
  <si>
    <t>午前休</t>
    <phoneticPr fontId="1"/>
  </si>
  <si>
    <t>午後休</t>
    <phoneticPr fontId="1"/>
  </si>
  <si>
    <t>電車遅延</t>
    <phoneticPr fontId="1"/>
  </si>
  <si>
    <t>体調不良のため早退</t>
    <phoneticPr fontId="1"/>
  </si>
  <si>
    <t>3/21代休取得予定</t>
    <phoneticPr fontId="1"/>
  </si>
  <si>
    <t>3/17分代休</t>
    <phoneticPr fontId="1"/>
  </si>
  <si>
    <t>作業場の合計時間</t>
    <rPh sb="0" eb="2">
      <t>サギョウ</t>
    </rPh>
    <rPh sb="2" eb="3">
      <t>バ</t>
    </rPh>
    <rPh sb="4" eb="6">
      <t>ゴウケイ</t>
    </rPh>
    <rPh sb="6" eb="8">
      <t>ジカン</t>
    </rPh>
    <phoneticPr fontId="1"/>
  </si>
  <si>
    <t>社内作業含み合計計</t>
    <rPh sb="0" eb="2">
      <t>シャナイ</t>
    </rPh>
    <rPh sb="2" eb="4">
      <t>サギョウ</t>
    </rPh>
    <rPh sb="4" eb="5">
      <t>フク</t>
    </rPh>
    <rPh sb="6" eb="8">
      <t>ゴウケイ</t>
    </rPh>
    <phoneticPr fontId="1"/>
  </si>
  <si>
    <t>合計差分</t>
    <phoneticPr fontId="1"/>
  </si>
  <si>
    <t>実作業
時間</t>
    <rPh sb="0" eb="1">
      <t>ジツ</t>
    </rPh>
    <rPh sb="1" eb="3">
      <t>サギョウ</t>
    </rPh>
    <rPh sb="4" eb="6">
      <t>ジカン</t>
    </rPh>
    <phoneticPr fontId="1"/>
  </si>
  <si>
    <t>管理責任者</t>
    <rPh sb="0" eb="2">
      <t>カンリ</t>
    </rPh>
    <rPh sb="2" eb="4">
      <t>セキニン</t>
    </rPh>
    <rPh sb="4" eb="5">
      <t>シャ</t>
    </rPh>
    <phoneticPr fontId="1"/>
  </si>
  <si>
    <t>実務責任者</t>
    <rPh sb="0" eb="2">
      <t>ジツム</t>
    </rPh>
    <rPh sb="2" eb="5">
      <t>セキニンシャ</t>
    </rPh>
    <phoneticPr fontId="1"/>
  </si>
  <si>
    <t>管理
者欄</t>
    <rPh sb="0" eb="2">
      <t>カンリ</t>
    </rPh>
    <rPh sb="3" eb="4">
      <t>シャ</t>
    </rPh>
    <rPh sb="4" eb="5">
      <t>ラン</t>
    </rPh>
    <phoneticPr fontId="1"/>
  </si>
  <si>
    <t>終業</t>
    <rPh sb="0" eb="2">
      <t>シュウギョウ</t>
    </rPh>
    <phoneticPr fontId="1"/>
  </si>
  <si>
    <t>ステータス</t>
    <phoneticPr fontId="1"/>
  </si>
  <si>
    <t>山田太郎</t>
    <rPh sb="0" eb="2">
      <t>ヤマダ</t>
    </rPh>
    <rPh sb="2" eb="4">
      <t>タロウ</t>
    </rPh>
    <phoneticPr fontId="1"/>
  </si>
  <si>
    <t>-</t>
  </si>
  <si>
    <t>有給/欠勤</t>
  </si>
  <si>
    <t>午前有給、午後病院の為早退</t>
    <rPh sb="0" eb="1">
      <t>ゴゼン</t>
    </rPh>
    <rPh sb="1" eb="3">
      <t>ユウキュウ</t>
    </rPh>
    <rPh sb="4" eb="6">
      <t>ゴゴ</t>
    </rPh>
    <rPh sb="6" eb="8">
      <t>ビョウイン</t>
    </rPh>
    <rPh sb="9" eb="10">
      <t>タメ</t>
    </rPh>
    <rPh sb="10" eb="12">
      <t>ソウタイ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</si>
</sst>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1]ggge&quot;年&quot;m&quot;月&quot;"/>
    <numFmt numFmtId="177" formatCode="d"/>
    <numFmt numFmtId="178" formatCode="aaa"/>
    <numFmt numFmtId="179" formatCode="0.00_ "/>
    <numFmt numFmtId="180" formatCode="#,##0;\-#,##0;&quot;-&quot;"/>
    <numFmt numFmtId="181" formatCode="[h]:mm"/>
    <numFmt numFmtId="182" formatCode="0_);[Red]\(0\)"/>
  </numFmts>
  <fonts count="21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ゴシック"/>
      <family val="3"/>
      <charset val="128"/>
    </font>
    <font>
      <sz val="12"/>
      <name val="ＭＳ Ｐゴシック"/>
      <family val="3"/>
      <charset val="128"/>
    </font>
    <font>
      <b/>
      <sz val="16"/>
      <name val="ＭＳ ゴシック"/>
      <family val="3"/>
      <charset val="128"/>
    </font>
    <font>
      <b/>
      <u/>
      <sz val="20"/>
      <name val="ＭＳ ゴシック"/>
      <family val="3"/>
      <charset val="128"/>
    </font>
    <font>
      <b/>
      <sz val="12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36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b/>
      <sz val="16"/>
      <color theme="0"/>
      <name val="ＭＳ ゴシック"/>
      <family val="3"/>
      <charset val="128"/>
    </font>
    <font>
      <sz val="9"/>
      <name val="ＭＳ 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80" fontId="12" fillId="0" borderId="0" applyFill="0" applyBorder="0" applyAlignment="0"/>
    <xf numFmtId="0" fontId="13" fillId="0" borderId="14" applyNumberFormat="0" applyAlignment="0" applyProtection="0">
      <alignment horizontal="left" vertical="center"/>
    </xf>
    <xf numFmtId="0" fontId="13" fillId="0" borderId="41">
      <alignment horizontal="left" vertical="center"/>
    </xf>
    <xf numFmtId="0" fontId="14" fillId="0" borderId="0"/>
    <xf numFmtId="0" fontId="15" fillId="0" borderId="0" applyNumberFormat="0" applyFont="0" applyFill="0" applyBorder="0" applyAlignment="0" applyProtection="0">
      <alignment horizontal="left"/>
    </xf>
    <xf numFmtId="0" fontId="16" fillId="0" borderId="17">
      <alignment horizontal="center"/>
    </xf>
  </cellStyleXfs>
  <cellXfs count="15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8" fillId="0" borderId="4" xfId="0" applyFont="1" applyBorder="1" applyAlignment="1">
      <alignment horizontal="centerContinuous" vertical="center"/>
    </xf>
    <xf numFmtId="0" fontId="8" fillId="0" borderId="2" xfId="0" applyFont="1" applyBorder="1" applyAlignment="1">
      <alignment horizontal="centerContinuous" vertical="center"/>
    </xf>
    <xf numFmtId="176" fontId="2" fillId="0" borderId="0" xfId="0" applyNumberFormat="1" applyFont="1" applyAlignment="1">
      <alignment horizontal="left" vertical="center"/>
    </xf>
    <xf numFmtId="14" fontId="0" fillId="0" borderId="0" xfId="0" applyNumberFormat="1" applyAlignment="1">
      <alignment vertical="center"/>
    </xf>
    <xf numFmtId="0" fontId="6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 applyProtection="1">
      <alignment horizontal="left" vertical="center"/>
      <protection locked="0"/>
    </xf>
    <xf numFmtId="0" fontId="10" fillId="2" borderId="38" xfId="0" quotePrefix="1" applyFont="1" applyFill="1" applyBorder="1" applyAlignment="1" applyProtection="1">
      <alignment vertical="center" wrapText="1" shrinkToFit="1"/>
      <protection locked="0"/>
    </xf>
    <xf numFmtId="0" fontId="10" fillId="2" borderId="41" xfId="0" quotePrefix="1" applyFont="1" applyFill="1" applyBorder="1" applyAlignment="1" applyProtection="1">
      <alignment vertical="center" wrapText="1" shrinkToFit="1"/>
      <protection locked="0"/>
    </xf>
    <xf numFmtId="0" fontId="10" fillId="2" borderId="55" xfId="0" quotePrefix="1" applyFont="1" applyFill="1" applyBorder="1" applyAlignment="1" applyProtection="1">
      <alignment vertical="center" wrapText="1" shrinkToFit="1"/>
      <protection locked="0"/>
    </xf>
    <xf numFmtId="0" fontId="10" fillId="2" borderId="7" xfId="0" quotePrefix="1" applyFont="1" applyFill="1" applyBorder="1" applyAlignment="1" applyProtection="1">
      <alignment vertical="center" wrapText="1" shrinkToFit="1"/>
      <protection locked="0"/>
    </xf>
    <xf numFmtId="0" fontId="11" fillId="3" borderId="38" xfId="0" applyFont="1" applyFill="1" applyBorder="1" applyAlignment="1" applyProtection="1">
      <alignment horizontal="center" vertical="center" wrapText="1" shrinkToFit="1"/>
      <protection locked="0"/>
    </xf>
    <xf numFmtId="0" fontId="11" fillId="3" borderId="44" xfId="0" applyFont="1" applyFill="1" applyBorder="1" applyAlignment="1" applyProtection="1">
      <alignment horizontal="center" vertical="center" wrapText="1" shrinkToFit="1"/>
      <protection locked="0"/>
    </xf>
    <xf numFmtId="176" fontId="2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3" xfId="0" applyFont="1" applyBorder="1" applyAlignment="1" applyProtection="1">
      <alignment horizontal="center" vertical="center"/>
      <protection locked="0"/>
    </xf>
    <xf numFmtId="0" fontId="6" fillId="0" borderId="14" xfId="0" applyFont="1" applyBorder="1" applyAlignment="1" applyProtection="1">
      <alignment horizontal="center" vertical="center"/>
      <protection locked="0"/>
    </xf>
    <xf numFmtId="177" fontId="8" fillId="0" borderId="1" xfId="0" applyNumberFormat="1" applyFont="1" applyBorder="1" applyAlignment="1">
      <alignment horizontal="center" vertical="center"/>
    </xf>
    <xf numFmtId="177" fontId="8" fillId="0" borderId="3" xfId="0" applyNumberFormat="1" applyFont="1" applyBorder="1" applyAlignment="1">
      <alignment horizontal="center" vertical="center"/>
    </xf>
    <xf numFmtId="178" fontId="8" fillId="0" borderId="21" xfId="0" applyNumberFormat="1" applyFont="1" applyBorder="1" applyAlignment="1">
      <alignment horizontal="center" vertical="center"/>
    </xf>
    <xf numFmtId="178" fontId="8" fillId="0" borderId="20" xfId="0" applyNumberFormat="1" applyFont="1" applyBorder="1" applyAlignment="1">
      <alignment horizontal="center" vertical="center"/>
    </xf>
    <xf numFmtId="181" fontId="8" fillId="2" borderId="4" xfId="0" applyNumberFormat="1" applyFont="1" applyFill="1" applyBorder="1" applyAlignment="1" applyProtection="1">
      <alignment horizontal="center" vertical="center"/>
      <protection locked="0"/>
    </xf>
    <xf numFmtId="181" fontId="8" fillId="2" borderId="2" xfId="0" applyNumberFormat="1" applyFont="1" applyFill="1" applyBorder="1" applyAlignment="1" applyProtection="1">
      <alignment horizontal="center" vertical="center"/>
      <protection locked="0"/>
    </xf>
    <xf numFmtId="181" fontId="8" fillId="2" borderId="46" xfId="0" applyNumberFormat="1" applyFont="1" applyFill="1" applyBorder="1" applyAlignment="1" applyProtection="1">
      <alignment horizontal="center" vertical="center"/>
      <protection locked="0"/>
    </xf>
    <xf numFmtId="181" fontId="8" fillId="2" borderId="47" xfId="0" applyNumberFormat="1" applyFont="1" applyFill="1" applyBorder="1" applyAlignment="1" applyProtection="1">
      <alignment horizontal="center" vertical="center"/>
      <protection locked="0"/>
    </xf>
    <xf numFmtId="181" fontId="8" fillId="2" borderId="3" xfId="0" applyNumberFormat="1" applyFont="1" applyFill="1" applyBorder="1" applyAlignment="1" applyProtection="1">
      <alignment horizontal="center" vertical="center"/>
      <protection locked="0"/>
    </xf>
    <xf numFmtId="181" fontId="8" fillId="0" borderId="2" xfId="0" applyNumberFormat="1" applyFont="1" applyBorder="1" applyAlignment="1">
      <alignment horizontal="center" vertical="center"/>
    </xf>
    <xf numFmtId="181" fontId="8" fillId="0" borderId="3" xfId="0" applyNumberFormat="1" applyFont="1" applyBorder="1" applyAlignment="1">
      <alignment horizontal="center" vertical="center"/>
    </xf>
    <xf numFmtId="181" fontId="8" fillId="0" borderId="49" xfId="0" applyNumberFormat="1" applyFont="1" applyBorder="1" applyAlignment="1">
      <alignment horizontal="center" vertical="center"/>
    </xf>
    <xf numFmtId="181" fontId="8" fillId="0" borderId="52" xfId="0" applyNumberFormat="1" applyFont="1" applyBorder="1" applyAlignment="1">
      <alignment horizontal="center" vertical="center"/>
    </xf>
    <xf numFmtId="181" fontId="8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4" fillId="2" borderId="0" xfId="0" applyNumberFormat="1" applyFont="1" applyFill="1" applyAlignment="1" applyProtection="1">
      <alignment horizontal="center" vertical="center"/>
      <protection locked="0"/>
    </xf>
    <xf numFmtId="0" fontId="10" fillId="2" borderId="1" xfId="0" quotePrefix="1" applyFont="1" applyFill="1" applyBorder="1" applyAlignment="1" applyProtection="1">
      <alignment vertical="center" wrapText="1" shrinkToFit="1"/>
      <protection locked="0"/>
    </xf>
    <xf numFmtId="0" fontId="10" fillId="2" borderId="2" xfId="0" quotePrefix="1" applyFont="1" applyFill="1" applyBorder="1" applyAlignment="1" applyProtection="1">
      <alignment vertical="center" wrapText="1" shrinkToFit="1"/>
      <protection locked="0"/>
    </xf>
    <xf numFmtId="0" fontId="11" fillId="3" borderId="23" xfId="0" applyFont="1" applyFill="1" applyBorder="1" applyAlignment="1" applyProtection="1">
      <alignment horizontal="center" vertical="center" wrapText="1" shrinkToFit="1"/>
      <protection locked="0"/>
    </xf>
    <xf numFmtId="0" fontId="11" fillId="3" borderId="22" xfId="0" applyFont="1" applyFill="1" applyBorder="1" applyAlignment="1" applyProtection="1">
      <alignment horizontal="center" vertical="center" wrapText="1" shrinkToFi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8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181" fontId="8" fillId="0" borderId="40" xfId="0" applyNumberFormat="1" applyFont="1" applyBorder="1" applyAlignment="1">
      <alignment horizontal="center" vertical="center"/>
    </xf>
    <xf numFmtId="181" fontId="8" fillId="0" borderId="41" xfId="0" applyNumberFormat="1" applyFont="1" applyBorder="1" applyAlignment="1">
      <alignment horizontal="center" vertical="center"/>
    </xf>
    <xf numFmtId="181" fontId="8" fillId="0" borderId="39" xfId="0" applyNumberFormat="1" applyFont="1" applyBorder="1" applyAlignment="1">
      <alignment horizontal="center" vertical="center"/>
    </xf>
    <xf numFmtId="181" fontId="8" fillId="0" borderId="53" xfId="0" applyNumberFormat="1" applyFont="1" applyBorder="1" applyAlignment="1">
      <alignment horizontal="center" vertical="center"/>
    </xf>
    <xf numFmtId="181" fontId="8" fillId="2" borderId="54" xfId="0" applyNumberFormat="1" applyFont="1" applyFill="1" applyBorder="1" applyAlignment="1" applyProtection="1">
      <alignment horizontal="center" vertical="center"/>
      <protection locked="0"/>
    </xf>
    <xf numFmtId="181" fontId="8" fillId="2" borderId="52" xfId="0" applyNumberFormat="1" applyFont="1" applyFill="1" applyBorder="1" applyAlignment="1" applyProtection="1">
      <alignment horizontal="center" vertical="center"/>
      <protection locked="0"/>
    </xf>
    <xf numFmtId="181" fontId="8" fillId="2" borderId="53" xfId="0" applyNumberFormat="1" applyFont="1" applyFill="1" applyBorder="1" applyAlignment="1" applyProtection="1">
      <alignment horizontal="center" vertical="center"/>
      <protection locked="0"/>
    </xf>
    <xf numFmtId="181" fontId="8" fillId="0" borderId="50" xfId="0" applyNumberFormat="1" applyFont="1" applyBorder="1" applyAlignment="1">
      <alignment horizontal="center" vertical="center"/>
    </xf>
    <xf numFmtId="181" fontId="8" fillId="0" borderId="5" xfId="0" applyNumberFormat="1" applyFont="1" applyBorder="1" applyAlignment="1">
      <alignment horizontal="center" vertical="center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6" fillId="2" borderId="13" xfId="0" applyFont="1" applyFill="1" applyBorder="1" applyAlignment="1" applyProtection="1">
      <alignment horizontal="left" vertical="center"/>
      <protection locked="0"/>
    </xf>
    <xf numFmtId="0" fontId="6" fillId="2" borderId="14" xfId="0" applyFont="1" applyFill="1" applyBorder="1" applyAlignment="1" applyProtection="1">
      <alignment horizontal="left" vertical="center"/>
      <protection locked="0"/>
    </xf>
    <xf numFmtId="0" fontId="6" fillId="2" borderId="15" xfId="0" applyFont="1" applyFill="1" applyBorder="1" applyAlignment="1" applyProtection="1">
      <alignment horizontal="left" vertical="center"/>
      <protection locked="0"/>
    </xf>
    <xf numFmtId="181" fontId="18" fillId="0" borderId="26" xfId="0" applyNumberFormat="1" applyFont="1" applyBorder="1" applyAlignment="1">
      <alignment horizontal="center" vertical="center"/>
    </xf>
    <xf numFmtId="181" fontId="18" fillId="0" borderId="51" xfId="0" applyNumberFormat="1" applyFont="1" applyBorder="1" applyAlignment="1">
      <alignment horizontal="center" vertical="center"/>
    </xf>
    <xf numFmtId="181" fontId="18" fillId="0" borderId="25" xfId="0" applyNumberFormat="1" applyFont="1" applyBorder="1" applyAlignment="1">
      <alignment horizontal="center" vertical="center"/>
    </xf>
    <xf numFmtId="181" fontId="18" fillId="0" borderId="33" xfId="0" applyNumberFormat="1" applyFont="1" applyBorder="1" applyAlignment="1">
      <alignment horizontal="center" vertical="center"/>
    </xf>
    <xf numFmtId="181" fontId="18" fillId="0" borderId="17" xfId="0" applyNumberFormat="1" applyFont="1" applyBorder="1" applyAlignment="1">
      <alignment horizontal="center" vertical="center"/>
    </xf>
    <xf numFmtId="181" fontId="18" fillId="0" borderId="32" xfId="0" applyNumberFormat="1" applyFont="1" applyBorder="1" applyAlignment="1">
      <alignment horizontal="center" vertical="center"/>
    </xf>
    <xf numFmtId="181" fontId="8" fillId="2" borderId="1" xfId="0" applyNumberFormat="1" applyFont="1" applyFill="1" applyBorder="1" applyAlignment="1" applyProtection="1">
      <alignment horizontal="center" vertical="center"/>
      <protection locked="0"/>
    </xf>
    <xf numFmtId="181" fontId="8" fillId="2" borderId="5" xfId="0" applyNumberFormat="1" applyFont="1" applyFill="1" applyBorder="1" applyAlignment="1" applyProtection="1">
      <alignment horizontal="center" vertical="center"/>
      <protection locked="0"/>
    </xf>
    <xf numFmtId="177" fontId="8" fillId="0" borderId="38" xfId="0" applyNumberFormat="1" applyFont="1" applyBorder="1" applyAlignment="1">
      <alignment horizontal="center" vertical="center"/>
    </xf>
    <xf numFmtId="177" fontId="8" fillId="0" borderId="39" xfId="0" applyNumberFormat="1" applyFont="1" applyBorder="1" applyAlignment="1">
      <alignment horizontal="center" vertical="center"/>
    </xf>
    <xf numFmtId="178" fontId="8" fillId="0" borderId="48" xfId="0" applyNumberFormat="1" applyFont="1" applyBorder="1" applyAlignment="1">
      <alignment horizontal="center" vertical="center"/>
    </xf>
    <xf numFmtId="181" fontId="8" fillId="2" borderId="40" xfId="0" applyNumberFormat="1" applyFont="1" applyFill="1" applyBorder="1" applyAlignment="1" applyProtection="1">
      <alignment horizontal="center" vertical="center"/>
      <protection locked="0"/>
    </xf>
    <xf numFmtId="181" fontId="8" fillId="2" borderId="41" xfId="0" applyNumberFormat="1" applyFont="1" applyFill="1" applyBorder="1" applyAlignment="1" applyProtection="1">
      <alignment horizontal="center" vertical="center"/>
      <protection locked="0"/>
    </xf>
    <xf numFmtId="181" fontId="8" fillId="2" borderId="42" xfId="0" applyNumberFormat="1" applyFont="1" applyFill="1" applyBorder="1" applyAlignment="1" applyProtection="1">
      <alignment horizontal="center" vertical="center"/>
      <protection locked="0"/>
    </xf>
    <xf numFmtId="181" fontId="8" fillId="2" borderId="43" xfId="0" applyNumberFormat="1" applyFont="1" applyFill="1" applyBorder="1" applyAlignment="1" applyProtection="1">
      <alignment horizontal="center" vertical="center"/>
      <protection locked="0"/>
    </xf>
    <xf numFmtId="181" fontId="8" fillId="2" borderId="39" xfId="0" applyNumberFormat="1" applyFont="1" applyFill="1" applyBorder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181" fontId="8" fillId="0" borderId="12" xfId="0" applyNumberFormat="1" applyFont="1" applyBorder="1" applyAlignment="1">
      <alignment horizontal="center" vertical="center"/>
    </xf>
    <xf numFmtId="181" fontId="8" fillId="0" borderId="14" xfId="0" applyNumberFormat="1" applyFont="1" applyBorder="1" applyAlignment="1">
      <alignment horizontal="center" vertical="center"/>
    </xf>
    <xf numFmtId="181" fontId="8" fillId="0" borderId="11" xfId="0" applyNumberFormat="1" applyFont="1" applyBorder="1" applyAlignment="1">
      <alignment horizontal="center" vertical="center"/>
    </xf>
    <xf numFmtId="181" fontId="8" fillId="0" borderId="15" xfId="0" applyNumberFormat="1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179" fontId="8" fillId="0" borderId="13" xfId="0" applyNumberFormat="1" applyFont="1" applyBorder="1" applyAlignment="1">
      <alignment horizontal="center" vertical="center"/>
    </xf>
    <xf numFmtId="179" fontId="8" fillId="0" borderId="14" xfId="0" applyNumberFormat="1" applyFont="1" applyBorder="1" applyAlignment="1">
      <alignment horizontal="center" vertical="center"/>
    </xf>
    <xf numFmtId="179" fontId="8" fillId="0" borderId="15" xfId="0" applyNumberFormat="1" applyFont="1" applyBorder="1" applyAlignment="1">
      <alignment horizontal="center" vertical="center"/>
    </xf>
    <xf numFmtId="179" fontId="8" fillId="0" borderId="13" xfId="0" applyNumberFormat="1" applyFont="1" applyBorder="1" applyAlignment="1">
      <alignment horizontal="center" vertical="center" shrinkToFit="1"/>
    </xf>
    <xf numFmtId="179" fontId="8" fillId="0" borderId="14" xfId="0" applyNumberFormat="1" applyFont="1" applyBorder="1" applyAlignment="1">
      <alignment horizontal="center" vertical="center" shrinkToFit="1"/>
    </xf>
    <xf numFmtId="179" fontId="8" fillId="0" borderId="15" xfId="0" applyNumberFormat="1" applyFont="1" applyBorder="1" applyAlignment="1">
      <alignment horizontal="center" vertical="center" shrinkToFit="1"/>
    </xf>
    <xf numFmtId="181" fontId="8" fillId="2" borderId="12" xfId="0" applyNumberFormat="1" applyFont="1" applyFill="1" applyBorder="1" applyAlignment="1" applyProtection="1">
      <alignment horizontal="center" vertical="center"/>
      <protection locked="0"/>
    </xf>
    <xf numFmtId="181" fontId="8" fillId="2" borderId="14" xfId="0" applyNumberFormat="1" applyFont="1" applyFill="1" applyBorder="1" applyAlignment="1" applyProtection="1">
      <alignment horizontal="center" vertical="center"/>
      <protection locked="0"/>
    </xf>
    <xf numFmtId="181" fontId="8" fillId="2" borderId="9" xfId="0" applyNumberFormat="1" applyFont="1" applyFill="1" applyBorder="1" applyAlignment="1" applyProtection="1">
      <alignment horizontal="center" vertical="center"/>
      <protection locked="0"/>
    </xf>
    <xf numFmtId="181" fontId="8" fillId="2" borderId="7" xfId="0" applyNumberFormat="1" applyFont="1" applyFill="1" applyBorder="1" applyAlignment="1" applyProtection="1">
      <alignment horizontal="center" vertical="center"/>
      <protection locked="0"/>
    </xf>
    <xf numFmtId="181" fontId="8" fillId="2" borderId="8" xfId="0" applyNumberFormat="1" applyFont="1" applyFill="1" applyBorder="1" applyAlignment="1" applyProtection="1">
      <alignment horizontal="center" vertical="center"/>
      <protection locked="0"/>
    </xf>
    <xf numFmtId="181" fontId="8" fillId="2" borderId="45" xfId="0" applyNumberFormat="1" applyFont="1" applyFill="1" applyBorder="1" applyAlignment="1" applyProtection="1">
      <alignment horizontal="center" vertical="center"/>
      <protection locked="0"/>
    </xf>
    <xf numFmtId="181" fontId="8" fillId="0" borderId="9" xfId="0" applyNumberFormat="1" applyFont="1" applyBorder="1" applyAlignment="1">
      <alignment horizontal="center" vertical="center"/>
    </xf>
    <xf numFmtId="181" fontId="8" fillId="0" borderId="7" xfId="0" applyNumberFormat="1" applyFont="1" applyBorder="1" applyAlignment="1">
      <alignment horizontal="center" vertical="center"/>
    </xf>
    <xf numFmtId="0" fontId="11" fillId="3" borderId="54" xfId="0" applyFont="1" applyFill="1" applyBorder="1" applyAlignment="1" applyProtection="1">
      <alignment horizontal="center" vertical="center" wrapText="1" shrinkToFit="1"/>
      <protection locked="0"/>
    </xf>
    <xf numFmtId="0" fontId="11" fillId="3" borderId="53" xfId="0" applyFont="1" applyFill="1" applyBorder="1" applyAlignment="1" applyProtection="1">
      <alignment horizontal="center" vertical="center" wrapText="1" shrinkToFit="1"/>
      <protection locked="0"/>
    </xf>
    <xf numFmtId="178" fontId="8" fillId="0" borderId="49" xfId="0" applyNumberFormat="1" applyFont="1" applyBorder="1" applyAlignment="1">
      <alignment horizontal="center" vertical="center"/>
    </xf>
    <xf numFmtId="178" fontId="8" fillId="0" borderId="50" xfId="0" applyNumberFormat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55" fontId="4" fillId="2" borderId="0" xfId="0" applyNumberFormat="1" applyFont="1" applyFill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82" fontId="6" fillId="0" borderId="13" xfId="0" applyNumberFormat="1" applyFont="1" applyBorder="1" applyAlignment="1" applyProtection="1">
      <alignment horizontal="center" vertical="center"/>
      <protection locked="0"/>
    </xf>
    <xf numFmtId="182" fontId="6" fillId="0" borderId="14" xfId="0" applyNumberFormat="1" applyFont="1" applyBorder="1" applyAlignment="1" applyProtection="1">
      <alignment horizontal="center" vertical="center"/>
      <protection locked="0"/>
    </xf>
    <xf numFmtId="181" fontId="8" fillId="2" borderId="38" xfId="0" applyNumberFormat="1" applyFont="1" applyFill="1" applyBorder="1" applyAlignment="1" applyProtection="1">
      <alignment horizontal="center" vertical="center"/>
      <protection locked="0"/>
    </xf>
    <xf numFmtId="181" fontId="8" fillId="2" borderId="44" xfId="0" applyNumberFormat="1" applyFont="1" applyFill="1" applyBorder="1" applyAlignment="1" applyProtection="1">
      <alignment horizontal="center" vertical="center"/>
      <protection locked="0"/>
    </xf>
    <xf numFmtId="181" fontId="8" fillId="2" borderId="55" xfId="0" applyNumberFormat="1" applyFont="1" applyFill="1" applyBorder="1" applyAlignment="1" applyProtection="1">
      <alignment horizontal="center" vertical="center"/>
      <protection locked="0"/>
    </xf>
    <xf numFmtId="181" fontId="8" fillId="2" borderId="10" xfId="0" applyNumberFormat="1" applyFont="1" applyFill="1" applyBorder="1" applyAlignment="1" applyProtection="1">
      <alignment horizontal="center" vertical="center"/>
      <protection locked="0"/>
    </xf>
  </cellXfs>
  <cellStyles count="7">
    <cellStyle name="Calc Currency (0)" xfId="1" xr:uid="{00000000-0005-0000-0000-000000000000}"/>
    <cellStyle name="Header1" xfId="2" xr:uid="{00000000-0005-0000-0000-000001000000}"/>
    <cellStyle name="Header2" xfId="3" xr:uid="{00000000-0005-0000-0000-000002000000}"/>
    <cellStyle name="Normal_#18-Internet" xfId="4" xr:uid="{00000000-0005-0000-0000-000003000000}"/>
    <cellStyle name="PSChar" xfId="5" xr:uid="{00000000-0005-0000-0000-000004000000}"/>
    <cellStyle name="PSHeading" xfId="6" xr:uid="{00000000-0005-0000-0000-000005000000}"/>
    <cellStyle name="標準" xfId="0" builtinId="0"/>
  </cellStyles>
  <dxfs count="273"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FFCC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17930</xdr:colOff>
      <xdr:row>9</xdr:row>
      <xdr:rowOff>152400</xdr:rowOff>
    </xdr:from>
    <xdr:to>
      <xdr:col>18</xdr:col>
      <xdr:colOff>8965</xdr:colOff>
      <xdr:row>12</xdr:row>
      <xdr:rowOff>8965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CBA552F0-EF2B-4FB4-868C-E57A497B01E3}"/>
            </a:ext>
          </a:extLst>
        </xdr:cNvPr>
        <xdr:cNvSpPr/>
      </xdr:nvSpPr>
      <xdr:spPr>
        <a:xfrm>
          <a:off x="735106" y="2411506"/>
          <a:ext cx="2501153" cy="645459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152400</xdr:colOff>
      <xdr:row>3</xdr:row>
      <xdr:rowOff>8965</xdr:rowOff>
    </xdr:from>
    <xdr:to>
      <xdr:col>38</xdr:col>
      <xdr:colOff>98613</xdr:colOff>
      <xdr:row>9</xdr:row>
      <xdr:rowOff>107576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1582217E-D831-4101-BE3B-E5CCBE4DD045}"/>
            </a:ext>
          </a:extLst>
        </xdr:cNvPr>
        <xdr:cNvSpPr/>
      </xdr:nvSpPr>
      <xdr:spPr>
        <a:xfrm>
          <a:off x="3021106" y="941294"/>
          <a:ext cx="4105836" cy="1425388"/>
        </a:xfrm>
        <a:prstGeom prst="wedgeRectCallout">
          <a:avLst>
            <a:gd name="adj1" fmla="val -46591"/>
            <a:gd name="adj2" fmla="val 9084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時間は「</a:t>
          </a:r>
          <a:r>
            <a:rPr kumimoji="1" lang="en-US" altLang="ja-JP" sz="1100"/>
            <a:t>:</a:t>
          </a:r>
          <a:r>
            <a:rPr kumimoji="1" lang="ja-JP" altLang="en-US" sz="1100"/>
            <a:t>」を入れて入力してください</a:t>
          </a:r>
          <a:endParaRPr kumimoji="1" lang="en-US" altLang="ja-JP" sz="1100"/>
        </a:p>
        <a:p>
          <a:pPr algn="l"/>
          <a:r>
            <a:rPr kumimoji="1" lang="en-US" altLang="ja-JP" sz="1100"/>
            <a:t>9</a:t>
          </a:r>
          <a:r>
            <a:rPr kumimoji="1" lang="ja-JP" altLang="en-US" sz="1100"/>
            <a:t>時</a:t>
          </a:r>
          <a:r>
            <a:rPr kumimoji="1" lang="en-US" altLang="ja-JP" sz="1100"/>
            <a:t>15</a:t>
          </a:r>
          <a:r>
            <a:rPr kumimoji="1" lang="ja-JP" altLang="en-US" sz="1100"/>
            <a:t>分であれば「</a:t>
          </a:r>
          <a:r>
            <a:rPr kumimoji="1" lang="en-US" altLang="ja-JP" sz="1100"/>
            <a:t>9:15</a:t>
          </a:r>
          <a:r>
            <a:rPr kumimoji="1" lang="ja-JP" altLang="en-US" sz="1100"/>
            <a:t>」</a:t>
          </a:r>
          <a:endParaRPr kumimoji="1" lang="en-US" altLang="ja-JP" sz="1100"/>
        </a:p>
        <a:p>
          <a:pPr algn="l"/>
          <a:r>
            <a:rPr kumimoji="1" lang="en-US" altLang="ja-JP" sz="1100"/>
            <a:t>24</a:t>
          </a:r>
          <a:r>
            <a:rPr kumimoji="1" lang="ja-JP" altLang="en-US" sz="1100"/>
            <a:t>時以降は＋</a:t>
          </a:r>
          <a:r>
            <a:rPr kumimoji="1" lang="en-US" altLang="ja-JP" sz="1100"/>
            <a:t>24</a:t>
          </a:r>
          <a:r>
            <a:rPr kumimoji="1" lang="ja-JP" altLang="en-US" sz="1100"/>
            <a:t>時した時間を入力してください</a:t>
          </a:r>
          <a:endParaRPr kumimoji="1" lang="en-US" altLang="ja-JP" sz="1100"/>
        </a:p>
        <a:p>
          <a:pPr algn="l"/>
          <a:r>
            <a:rPr kumimoji="1" lang="en-US" altLang="ja-JP" sz="1100"/>
            <a:t>AM2</a:t>
          </a:r>
          <a:r>
            <a:rPr kumimoji="1" lang="ja-JP" altLang="en-US" sz="1100"/>
            <a:t>時の場合は、「</a:t>
          </a:r>
          <a:r>
            <a:rPr kumimoji="1" lang="en-US" altLang="ja-JP" sz="1100"/>
            <a:t>26:00</a:t>
          </a:r>
          <a:r>
            <a:rPr kumimoji="1" lang="ja-JP" altLang="en-US" sz="1100"/>
            <a:t>」</a:t>
          </a:r>
          <a:r>
            <a:rPr kumimoji="1" lang="en-US" altLang="ja-JP" sz="1100"/>
            <a:t>(2</a:t>
          </a:r>
          <a:r>
            <a:rPr kumimoji="1" lang="ja-JP" altLang="en-US" sz="1100"/>
            <a:t>＋</a:t>
          </a:r>
          <a:r>
            <a:rPr kumimoji="1" lang="en-US" altLang="ja-JP" sz="1100"/>
            <a:t>24</a:t>
          </a:r>
          <a:r>
            <a:rPr kumimoji="1" lang="ja-JP" altLang="en-US" sz="1100"/>
            <a:t>）、</a:t>
          </a:r>
          <a:endParaRPr kumimoji="1" lang="en-US" altLang="ja-JP" sz="1100"/>
        </a:p>
        <a:p>
          <a:pPr algn="l"/>
          <a:r>
            <a:rPr kumimoji="1" lang="ja-JP" altLang="en-US" sz="1100"/>
            <a:t>夜勤作業で朝</a:t>
          </a:r>
          <a:r>
            <a:rPr kumimoji="1" lang="en-US" altLang="ja-JP" sz="1100"/>
            <a:t>8</a:t>
          </a:r>
          <a:r>
            <a:rPr kumimoji="1" lang="ja-JP" altLang="en-US" sz="1100"/>
            <a:t>時まで作業をした場合は「</a:t>
          </a:r>
          <a:r>
            <a:rPr kumimoji="1" lang="en-US" altLang="ja-JP" sz="1100"/>
            <a:t>32:00</a:t>
          </a:r>
          <a:r>
            <a:rPr kumimoji="1" lang="ja-JP" altLang="en-US" sz="1100"/>
            <a:t>」（</a:t>
          </a:r>
          <a:r>
            <a:rPr kumimoji="1" lang="en-US" altLang="ja-JP" sz="1100"/>
            <a:t>8+24)</a:t>
          </a:r>
        </a:p>
        <a:p>
          <a:pPr algn="l"/>
          <a:r>
            <a:rPr kumimoji="1" lang="ja-JP" altLang="en-US" sz="1100"/>
            <a:t>休憩が</a:t>
          </a:r>
          <a:r>
            <a:rPr kumimoji="1" lang="en-US" altLang="ja-JP" sz="1100"/>
            <a:t>50</a:t>
          </a:r>
          <a:r>
            <a:rPr kumimoji="1" lang="ja-JP" altLang="en-US" sz="1100"/>
            <a:t>分の場合は「</a:t>
          </a:r>
          <a:r>
            <a:rPr kumimoji="1" lang="en-US" altLang="ja-JP" sz="1100"/>
            <a:t>00:50</a:t>
          </a:r>
          <a:r>
            <a:rPr kumimoji="1" lang="ja-JP" altLang="en-US" sz="1100"/>
            <a:t>」と入力</a:t>
          </a:r>
          <a:endParaRPr kumimoji="1" lang="en-US" altLang="ja-JP" sz="1100"/>
        </a:p>
      </xdr:txBody>
    </xdr:sp>
    <xdr:clientData/>
  </xdr:twoCellAnchor>
  <xdr:twoCellAnchor>
    <xdr:from>
      <xdr:col>12</xdr:col>
      <xdr:colOff>56030</xdr:colOff>
      <xdr:row>20</xdr:row>
      <xdr:rowOff>286872</xdr:rowOff>
    </xdr:from>
    <xdr:to>
      <xdr:col>18</xdr:col>
      <xdr:colOff>64994</xdr:colOff>
      <xdr:row>22</xdr:row>
      <xdr:rowOff>17929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5A9E71DD-DA4A-4AA1-A37D-7C66578D87BD}"/>
            </a:ext>
          </a:extLst>
        </xdr:cNvPr>
        <xdr:cNvSpPr/>
      </xdr:nvSpPr>
      <xdr:spPr>
        <a:xfrm>
          <a:off x="2476501" y="5766548"/>
          <a:ext cx="1219199" cy="336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0</xdr:colOff>
      <xdr:row>16</xdr:row>
      <xdr:rowOff>170328</xdr:rowOff>
    </xdr:from>
    <xdr:to>
      <xdr:col>28</xdr:col>
      <xdr:colOff>17930</xdr:colOff>
      <xdr:row>19</xdr:row>
      <xdr:rowOff>152399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C712B905-112B-4B23-89EB-11F05466BE1A}"/>
            </a:ext>
          </a:extLst>
        </xdr:cNvPr>
        <xdr:cNvSpPr/>
      </xdr:nvSpPr>
      <xdr:spPr>
        <a:xfrm>
          <a:off x="896471" y="4437528"/>
          <a:ext cx="4141694" cy="896471"/>
        </a:xfrm>
        <a:prstGeom prst="wedgeRectCallout">
          <a:avLst>
            <a:gd name="adj1" fmla="val -13474"/>
            <a:gd name="adj2" fmla="val 8848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5</a:t>
          </a:r>
          <a:r>
            <a:rPr kumimoji="1" lang="ja-JP" altLang="en-US" sz="1100"/>
            <a:t>時～</a:t>
          </a:r>
          <a:r>
            <a:rPr kumimoji="1" lang="en-US" altLang="ja-JP" sz="1100"/>
            <a:t>22</a:t>
          </a:r>
          <a:r>
            <a:rPr kumimoji="1" lang="ja-JP" altLang="en-US" sz="1100"/>
            <a:t>時までに取得した休息時間は左側へ入力してください</a:t>
          </a:r>
          <a:endParaRPr kumimoji="1" lang="en-US" altLang="ja-JP" sz="1100"/>
        </a:p>
        <a:p>
          <a:pPr algn="l"/>
          <a:r>
            <a:rPr kumimoji="1" lang="en-US" altLang="ja-JP" sz="1100"/>
            <a:t>22</a:t>
          </a:r>
          <a:r>
            <a:rPr kumimoji="1" lang="ja-JP" altLang="en-US" sz="1100"/>
            <a:t>時～</a:t>
          </a:r>
          <a:r>
            <a:rPr kumimoji="1" lang="en-US" altLang="ja-JP" sz="1100"/>
            <a:t>5</a:t>
          </a:r>
          <a:r>
            <a:rPr kumimoji="1" lang="ja-JP" altLang="en-US" sz="1100"/>
            <a:t>時まで（深夜時間）に取得した休息時間は右側へ入力してください</a:t>
          </a:r>
          <a:endParaRPr kumimoji="1" lang="en-US" altLang="ja-JP" sz="1100"/>
        </a:p>
      </xdr:txBody>
    </xdr:sp>
    <xdr:clientData/>
  </xdr:twoCellAnchor>
  <xdr:twoCellAnchor>
    <xdr:from>
      <xdr:col>32</xdr:col>
      <xdr:colOff>134471</xdr:colOff>
      <xdr:row>10</xdr:row>
      <xdr:rowOff>8965</xdr:rowOff>
    </xdr:from>
    <xdr:to>
      <xdr:col>37</xdr:col>
      <xdr:colOff>71718</xdr:colOff>
      <xdr:row>41</xdr:row>
      <xdr:rowOff>8965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A3376227-9B71-481A-8858-359696739F36}"/>
            </a:ext>
          </a:extLst>
        </xdr:cNvPr>
        <xdr:cNvSpPr/>
      </xdr:nvSpPr>
      <xdr:spPr>
        <a:xfrm>
          <a:off x="5871883" y="2447365"/>
          <a:ext cx="1084729" cy="9448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136713</xdr:colOff>
      <xdr:row>8</xdr:row>
      <xdr:rowOff>133352</xdr:rowOff>
    </xdr:from>
    <xdr:to>
      <xdr:col>51</xdr:col>
      <xdr:colOff>176494</xdr:colOff>
      <xdr:row>12</xdr:row>
      <xdr:rowOff>61635</xdr:rowOff>
    </xdr:to>
    <xdr:sp macro="" textlink="">
      <xdr:nvSpPr>
        <xdr:cNvPr id="7" name="吹き出し: 四角形 6">
          <a:extLst>
            <a:ext uri="{FF2B5EF4-FFF2-40B4-BE49-F238E27FC236}">
              <a16:creationId xmlns:a16="http://schemas.microsoft.com/office/drawing/2014/main" id="{DEA56916-9524-46FB-8414-7EB7B72F99D8}"/>
            </a:ext>
          </a:extLst>
        </xdr:cNvPr>
        <xdr:cNvSpPr/>
      </xdr:nvSpPr>
      <xdr:spPr>
        <a:xfrm>
          <a:off x="7804338" y="2238377"/>
          <a:ext cx="2840131" cy="899833"/>
        </a:xfrm>
        <a:prstGeom prst="wedgeRectCallout">
          <a:avLst>
            <a:gd name="adj1" fmla="val -54600"/>
            <a:gd name="adj2" fmla="val 3448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遅刻や休み、シフト業務の場合は、一覧から該当するものを選択してください</a:t>
          </a:r>
          <a:endParaRPr kumimoji="1" lang="en-US" altLang="ja-JP" sz="1100"/>
        </a:p>
        <a:p>
          <a:pPr algn="l"/>
          <a:r>
            <a:rPr kumimoji="1" lang="ja-JP" altLang="en-US" sz="1100"/>
            <a:t>該当するものがない場合は、ご連絡ください</a:t>
          </a:r>
          <a:endParaRPr kumimoji="1" lang="en-US" altLang="ja-JP" sz="1100"/>
        </a:p>
      </xdr:txBody>
    </xdr:sp>
    <xdr:clientData/>
  </xdr:twoCellAnchor>
  <xdr:twoCellAnchor>
    <xdr:from>
      <xdr:col>0</xdr:col>
      <xdr:colOff>0</xdr:colOff>
      <xdr:row>1</xdr:row>
      <xdr:rowOff>170331</xdr:rowOff>
    </xdr:from>
    <xdr:to>
      <xdr:col>9</xdr:col>
      <xdr:colOff>44824</xdr:colOff>
      <xdr:row>3</xdr:row>
      <xdr:rowOff>8966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F5D18049-6A2A-4F6B-8D16-35419D27C77A}"/>
            </a:ext>
          </a:extLst>
        </xdr:cNvPr>
        <xdr:cNvSpPr/>
      </xdr:nvSpPr>
      <xdr:spPr>
        <a:xfrm>
          <a:off x="0" y="349625"/>
          <a:ext cx="1658471" cy="59167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44824</xdr:colOff>
      <xdr:row>3</xdr:row>
      <xdr:rowOff>170329</xdr:rowOff>
    </xdr:from>
    <xdr:to>
      <xdr:col>16</xdr:col>
      <xdr:colOff>53788</xdr:colOff>
      <xdr:row>5</xdr:row>
      <xdr:rowOff>268941</xdr:rowOff>
    </xdr:to>
    <xdr:sp macro="" textlink="">
      <xdr:nvSpPr>
        <xdr:cNvPr id="9" name="吹き出し: 四角形 8">
          <a:extLst>
            <a:ext uri="{FF2B5EF4-FFF2-40B4-BE49-F238E27FC236}">
              <a16:creationId xmlns:a16="http://schemas.microsoft.com/office/drawing/2014/main" id="{A515CA5B-B271-4F26-8079-C4CB92D49638}"/>
            </a:ext>
          </a:extLst>
        </xdr:cNvPr>
        <xdr:cNvSpPr/>
      </xdr:nvSpPr>
      <xdr:spPr>
        <a:xfrm>
          <a:off x="403412" y="1102658"/>
          <a:ext cx="2519082" cy="582707"/>
        </a:xfrm>
        <a:prstGeom prst="wedgeRectCallout">
          <a:avLst>
            <a:gd name="adj1" fmla="val -41433"/>
            <a:gd name="adj2" fmla="val -7490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年月を変更するとカレンダーが変更される</a:t>
          </a:r>
          <a:endParaRPr kumimoji="1" lang="en-US" altLang="ja-JP" sz="1100"/>
        </a:p>
      </xdr:txBody>
    </xdr:sp>
    <xdr:clientData/>
  </xdr:twoCellAnchor>
  <xdr:twoCellAnchor>
    <xdr:from>
      <xdr:col>18</xdr:col>
      <xdr:colOff>8965</xdr:colOff>
      <xdr:row>41</xdr:row>
      <xdr:rowOff>304801</xdr:rowOff>
    </xdr:from>
    <xdr:to>
      <xdr:col>23</xdr:col>
      <xdr:colOff>161363</xdr:colOff>
      <xdr:row>43</xdr:row>
      <xdr:rowOff>8965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5C96C8FF-39AE-4943-A697-4C47D213E3A9}"/>
            </a:ext>
          </a:extLst>
        </xdr:cNvPr>
        <xdr:cNvSpPr/>
      </xdr:nvSpPr>
      <xdr:spPr>
        <a:xfrm>
          <a:off x="3236259" y="12192001"/>
          <a:ext cx="1048869" cy="385482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165549</xdr:colOff>
      <xdr:row>38</xdr:row>
      <xdr:rowOff>259379</xdr:rowOff>
    </xdr:from>
    <xdr:to>
      <xdr:col>36</xdr:col>
      <xdr:colOff>204994</xdr:colOff>
      <xdr:row>41</xdr:row>
      <xdr:rowOff>0</xdr:rowOff>
    </xdr:to>
    <xdr:sp macro="" textlink="">
      <xdr:nvSpPr>
        <xdr:cNvPr id="11" name="吹き出し: 四角形 10">
          <a:extLst>
            <a:ext uri="{FF2B5EF4-FFF2-40B4-BE49-F238E27FC236}">
              <a16:creationId xmlns:a16="http://schemas.microsoft.com/office/drawing/2014/main" id="{BA46C6D1-F3EC-4C5A-A437-42363FECF049}"/>
            </a:ext>
          </a:extLst>
        </xdr:cNvPr>
        <xdr:cNvSpPr/>
      </xdr:nvSpPr>
      <xdr:spPr>
        <a:xfrm>
          <a:off x="4371789" y="11191539"/>
          <a:ext cx="2569285" cy="655021"/>
        </a:xfrm>
        <a:prstGeom prst="wedgeRectCallout">
          <a:avLst>
            <a:gd name="adj1" fmla="val -48635"/>
            <a:gd name="adj2" fmla="val 10130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作業場で使用している作業報告書の合計時間を記載してください</a:t>
          </a:r>
          <a:endParaRPr kumimoji="1" lang="en-US" altLang="ja-JP" sz="1100"/>
        </a:p>
      </xdr:txBody>
    </xdr:sp>
    <xdr:clientData/>
  </xdr:twoCellAnchor>
  <xdr:twoCellAnchor>
    <xdr:from>
      <xdr:col>49</xdr:col>
      <xdr:colOff>152399</xdr:colOff>
      <xdr:row>9</xdr:row>
      <xdr:rowOff>161364</xdr:rowOff>
    </xdr:from>
    <xdr:to>
      <xdr:col>52</xdr:col>
      <xdr:colOff>17929</xdr:colOff>
      <xdr:row>40</xdr:row>
      <xdr:rowOff>268941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4A202056-3855-4073-A676-A22F6F730B90}"/>
            </a:ext>
          </a:extLst>
        </xdr:cNvPr>
        <xdr:cNvSpPr/>
      </xdr:nvSpPr>
      <xdr:spPr>
        <a:xfrm>
          <a:off x="9152964" y="2420470"/>
          <a:ext cx="403412" cy="9430871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55469</xdr:colOff>
      <xdr:row>12</xdr:row>
      <xdr:rowOff>70037</xdr:rowOff>
    </xdr:from>
    <xdr:to>
      <xdr:col>48</xdr:col>
      <xdr:colOff>127187</xdr:colOff>
      <xdr:row>13</xdr:row>
      <xdr:rowOff>96931</xdr:rowOff>
    </xdr:to>
    <xdr:sp macro="" textlink="">
      <xdr:nvSpPr>
        <xdr:cNvPr id="13" name="吹き出し: 四角形 12">
          <a:extLst>
            <a:ext uri="{FF2B5EF4-FFF2-40B4-BE49-F238E27FC236}">
              <a16:creationId xmlns:a16="http://schemas.microsoft.com/office/drawing/2014/main" id="{1D7FDC22-7C33-47B9-927F-D59CC35D34F2}"/>
            </a:ext>
          </a:extLst>
        </xdr:cNvPr>
        <xdr:cNvSpPr/>
      </xdr:nvSpPr>
      <xdr:spPr>
        <a:xfrm>
          <a:off x="8323169" y="3146612"/>
          <a:ext cx="1671918" cy="331694"/>
        </a:xfrm>
        <a:prstGeom prst="wedgeRectCallout">
          <a:avLst>
            <a:gd name="adj1" fmla="val 59279"/>
            <a:gd name="adj2" fmla="val 3748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この欄は記入しない</a:t>
          </a:r>
          <a:endParaRPr kumimoji="1" lang="en-US" altLang="ja-JP" sz="1100"/>
        </a:p>
      </xdr:txBody>
    </xdr:sp>
    <xdr:clientData/>
  </xdr:twoCellAnchor>
  <xdr:twoCellAnchor>
    <xdr:from>
      <xdr:col>8</xdr:col>
      <xdr:colOff>71718</xdr:colOff>
      <xdr:row>1</xdr:row>
      <xdr:rowOff>8965</xdr:rowOff>
    </xdr:from>
    <xdr:to>
      <xdr:col>46</xdr:col>
      <xdr:colOff>152400</xdr:colOff>
      <xdr:row>2</xdr:row>
      <xdr:rowOff>412377</xdr:rowOff>
    </xdr:to>
    <xdr:sp macro="" textlink="">
      <xdr:nvSpPr>
        <xdr:cNvPr id="14" name="四角形: 角を丸くする 13">
          <a:extLst>
            <a:ext uri="{FF2B5EF4-FFF2-40B4-BE49-F238E27FC236}">
              <a16:creationId xmlns:a16="http://schemas.microsoft.com/office/drawing/2014/main" id="{F6530BC8-2756-48E5-BD79-43EA7E5F4DF4}"/>
            </a:ext>
          </a:extLst>
        </xdr:cNvPr>
        <xdr:cNvSpPr/>
      </xdr:nvSpPr>
      <xdr:spPr>
        <a:xfrm>
          <a:off x="1506071" y="188259"/>
          <a:ext cx="7109011" cy="6096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/>
            <a:t>毎月第一営業日までに「</a:t>
          </a:r>
          <a:r>
            <a:rPr kumimoji="1" lang="en-US" altLang="ja-JP" sz="1100" b="1"/>
            <a:t>kintai@jobcrown.co.jp</a:t>
          </a:r>
          <a:r>
            <a:rPr kumimoji="1" lang="ja-JP" altLang="en-US" sz="1100" b="1"/>
            <a:t>」へ提出してください</a:t>
          </a:r>
          <a:endParaRPr kumimoji="1" lang="en-US" altLang="ja-JP" sz="1100" b="1"/>
        </a:p>
        <a:p>
          <a:pPr algn="l"/>
          <a:r>
            <a:rPr kumimoji="1" lang="ja-JP" altLang="en-US" sz="1100" b="1"/>
            <a:t>延時間が</a:t>
          </a:r>
          <a:r>
            <a:rPr kumimoji="1" lang="en-US" altLang="ja-JP" sz="1100" b="1"/>
            <a:t>15</a:t>
          </a:r>
          <a:r>
            <a:rPr kumimoji="1" lang="ja-JP" altLang="en-US" sz="1100" b="1"/>
            <a:t>分単位になるよう記載してください（</a:t>
          </a:r>
          <a:r>
            <a:rPr kumimoji="1" lang="en-US" altLang="ja-JP" sz="1100" b="1"/>
            <a:t>8</a:t>
          </a:r>
          <a:r>
            <a:rPr kumimoji="1" lang="ja-JP" altLang="en-US" sz="1100" b="1"/>
            <a:t>：</a:t>
          </a:r>
          <a:r>
            <a:rPr kumimoji="1" lang="en-US" altLang="ja-JP" sz="1100" b="1"/>
            <a:t>10</a:t>
          </a:r>
          <a:r>
            <a:rPr kumimoji="1" lang="ja-JP" altLang="en-US" sz="1100" b="1"/>
            <a:t>であれば、</a:t>
          </a:r>
          <a:r>
            <a:rPr kumimoji="1" lang="en-US" altLang="ja-JP" sz="1100" b="1"/>
            <a:t>8</a:t>
          </a:r>
          <a:r>
            <a:rPr kumimoji="1" lang="ja-JP" altLang="en-US" sz="1100" b="1"/>
            <a:t>：</a:t>
          </a:r>
          <a:r>
            <a:rPr kumimoji="1" lang="en-US" altLang="ja-JP" sz="1100" b="1"/>
            <a:t>15</a:t>
          </a:r>
          <a:r>
            <a:rPr kumimoji="1" lang="ja-JP" altLang="en-US" sz="1100" b="1"/>
            <a:t>に寄せる</a:t>
          </a:r>
          <a:r>
            <a:rPr kumimoji="1" lang="ja-JP" altLang="en-US" sz="1100"/>
            <a:t>）</a:t>
          </a:r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FF00"/>
    <pageSetUpPr fitToPage="1"/>
  </sheetPr>
  <dimension ref="A1:BD43"/>
  <sheetViews>
    <sheetView zoomScaleNormal="100" zoomScaleSheetLayoutView="75" workbookViewId="0">
      <selection activeCell="AL37" sqref="AL37:AX37"/>
    </sheetView>
  </sheetViews>
  <sheetFormatPr defaultColWidth="2.625" defaultRowHeight="13.5" x14ac:dyDescent="0.15"/>
  <cols>
    <col min="1" max="1" width="2.625" style="2"/>
    <col min="2" max="2" width="2.625" style="2" customWidth="1"/>
    <col min="3" max="9" width="2.625" style="2"/>
    <col min="10" max="10" width="2.625" style="2" customWidth="1"/>
    <col min="11" max="33" width="2.625" style="2"/>
    <col min="34" max="37" width="3.5" style="2" customWidth="1"/>
    <col min="38" max="55" width="2.625" style="2"/>
    <col min="56" max="56" width="22.625" style="2" customWidth="1"/>
    <col min="57" max="16384" width="2.625" style="2"/>
  </cols>
  <sheetData>
    <row r="1" spans="1:56" ht="14.25" thickBo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6" ht="17.25" x14ac:dyDescent="0.15">
      <c r="A2" s="22"/>
      <c r="B2" s="22"/>
      <c r="C2" s="22"/>
      <c r="D2" s="22"/>
      <c r="E2" s="22"/>
      <c r="F2" s="22"/>
      <c r="G2" s="22"/>
      <c r="H2" s="22"/>
      <c r="I2" s="22"/>
      <c r="J2" s="5"/>
      <c r="K2" s="5"/>
      <c r="L2" s="5"/>
      <c r="AL2" s="23"/>
      <c r="AM2" s="23"/>
      <c r="AN2" s="23"/>
      <c r="AO2" s="23"/>
      <c r="AP2" s="24"/>
      <c r="AQ2" s="25" t="s">
        <v>44</v>
      </c>
      <c r="AR2" s="25"/>
      <c r="AS2" s="25"/>
      <c r="AT2" s="25"/>
      <c r="AU2" s="26"/>
      <c r="AV2" s="46" t="s">
        <v>45</v>
      </c>
      <c r="AW2" s="25"/>
      <c r="AX2" s="25"/>
      <c r="AY2" s="25"/>
      <c r="AZ2" s="47"/>
    </row>
    <row r="3" spans="1:56" ht="43.5" customHeight="1" thickBot="1" x14ac:dyDescent="0.2">
      <c r="A3" s="48">
        <v>43160</v>
      </c>
      <c r="B3" s="48"/>
      <c r="C3" s="48"/>
      <c r="D3" s="48"/>
      <c r="E3" s="48"/>
      <c r="F3" s="48"/>
      <c r="G3" s="48"/>
      <c r="H3" s="48"/>
      <c r="I3" s="48"/>
      <c r="J3" s="8">
        <f>DAY(EOMONTH(A3,0))</f>
        <v>31</v>
      </c>
      <c r="K3" s="9" t="s">
        <v>0</v>
      </c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53"/>
      <c r="AM3" s="53"/>
      <c r="AN3" s="53"/>
      <c r="AO3" s="53"/>
      <c r="AP3" s="54"/>
      <c r="AQ3" s="55"/>
      <c r="AR3" s="55"/>
      <c r="AS3" s="55"/>
      <c r="AT3" s="55"/>
      <c r="AU3" s="56"/>
      <c r="AV3" s="57"/>
      <c r="AW3" s="55"/>
      <c r="AX3" s="55"/>
      <c r="AY3" s="55"/>
      <c r="AZ3" s="58"/>
    </row>
    <row r="4" spans="1:56" ht="14.25" customHeight="1" thickBot="1" x14ac:dyDescent="0.2"/>
    <row r="5" spans="1:56" ht="24" customHeight="1" thickBot="1" x14ac:dyDescent="0.2">
      <c r="A5" s="27" t="s">
        <v>10</v>
      </c>
      <c r="B5" s="28"/>
      <c r="C5" s="28"/>
      <c r="D5" s="28"/>
      <c r="E5" s="28"/>
      <c r="F5" s="28"/>
      <c r="G5" s="91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3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27" t="s">
        <v>1</v>
      </c>
      <c r="AM5" s="28"/>
      <c r="AN5" s="28"/>
      <c r="AO5" s="28"/>
      <c r="AP5" s="29"/>
      <c r="AQ5" s="30">
        <f>COUNTIF(E11:H41,"&lt;&gt;")</f>
        <v>20</v>
      </c>
      <c r="AR5" s="70"/>
      <c r="AS5" s="70"/>
      <c r="AT5" s="70"/>
      <c r="AU5" s="70"/>
      <c r="AV5" s="71"/>
      <c r="AW5" s="71"/>
      <c r="AX5" s="72" t="s">
        <v>2</v>
      </c>
      <c r="AY5" s="72"/>
      <c r="AZ5" s="73"/>
    </row>
    <row r="6" spans="1:56" ht="24" customHeight="1" thickBot="1" x14ac:dyDescent="0.2">
      <c r="A6" s="27" t="s">
        <v>11</v>
      </c>
      <c r="B6" s="28"/>
      <c r="C6" s="28"/>
      <c r="D6" s="28"/>
      <c r="E6" s="28"/>
      <c r="F6" s="28"/>
      <c r="G6" s="91" t="s">
        <v>12</v>
      </c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3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27" t="s">
        <v>3</v>
      </c>
      <c r="AM6" s="28"/>
      <c r="AN6" s="28"/>
      <c r="AO6" s="28"/>
      <c r="AP6" s="29"/>
      <c r="AQ6" s="30">
        <f>COUNTBLANK(I11:I41)</f>
        <v>11</v>
      </c>
      <c r="AR6" s="31"/>
      <c r="AS6" s="31"/>
      <c r="AT6" s="31"/>
      <c r="AU6" s="31"/>
      <c r="AV6" s="31"/>
      <c r="AW6" s="31"/>
      <c r="AX6" s="72" t="s">
        <v>2</v>
      </c>
      <c r="AY6" s="72"/>
      <c r="AZ6" s="73"/>
    </row>
    <row r="7" spans="1:56" ht="14.25" customHeight="1" thickBot="1" x14ac:dyDescent="0.2"/>
    <row r="8" spans="1:56" ht="14.25" customHeight="1" x14ac:dyDescent="0.15">
      <c r="A8" s="110" t="s">
        <v>4</v>
      </c>
      <c r="B8" s="111"/>
      <c r="C8" s="111"/>
      <c r="D8" s="112"/>
      <c r="E8" s="3" t="s">
        <v>5</v>
      </c>
      <c r="F8" s="4"/>
      <c r="G8" s="4"/>
      <c r="H8" s="4"/>
      <c r="I8" s="4"/>
      <c r="J8" s="4"/>
      <c r="K8" s="4"/>
      <c r="L8" s="4"/>
      <c r="M8" s="121" t="s">
        <v>16</v>
      </c>
      <c r="N8" s="111"/>
      <c r="O8" s="111"/>
      <c r="P8" s="111"/>
      <c r="Q8" s="111"/>
      <c r="R8" s="112"/>
      <c r="S8" s="75" t="s">
        <v>17</v>
      </c>
      <c r="T8" s="75"/>
      <c r="U8" s="76"/>
      <c r="V8" s="113" t="s">
        <v>6</v>
      </c>
      <c r="W8" s="75"/>
      <c r="X8" s="75"/>
      <c r="Y8" s="74" t="s">
        <v>26</v>
      </c>
      <c r="Z8" s="75"/>
      <c r="AA8" s="76"/>
      <c r="AB8" s="74" t="s">
        <v>25</v>
      </c>
      <c r="AC8" s="75"/>
      <c r="AD8" s="76"/>
      <c r="AE8" s="84" t="s">
        <v>24</v>
      </c>
      <c r="AF8" s="75"/>
      <c r="AG8" s="85"/>
      <c r="AH8" s="83" t="s">
        <v>20</v>
      </c>
      <c r="AI8" s="84"/>
      <c r="AJ8" s="75"/>
      <c r="AK8" s="85"/>
      <c r="AL8" s="90" t="s">
        <v>32</v>
      </c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83" t="s">
        <v>46</v>
      </c>
      <c r="AZ8" s="85"/>
    </row>
    <row r="9" spans="1:56" ht="14.25" customHeight="1" x14ac:dyDescent="0.15">
      <c r="A9" s="114" t="s">
        <v>7</v>
      </c>
      <c r="B9" s="115"/>
      <c r="C9" s="116" t="s">
        <v>8</v>
      </c>
      <c r="D9" s="115"/>
      <c r="E9" s="59" t="s">
        <v>13</v>
      </c>
      <c r="F9" s="60"/>
      <c r="G9" s="60"/>
      <c r="H9" s="60"/>
      <c r="I9" s="60" t="s">
        <v>15</v>
      </c>
      <c r="J9" s="60"/>
      <c r="K9" s="60"/>
      <c r="L9" s="60"/>
      <c r="M9" s="94">
        <v>0.20833333333333334</v>
      </c>
      <c r="N9" s="95"/>
      <c r="O9" s="96"/>
      <c r="P9" s="94">
        <v>0.91666666666666663</v>
      </c>
      <c r="Q9" s="95"/>
      <c r="R9" s="96"/>
      <c r="S9" s="78"/>
      <c r="T9" s="78"/>
      <c r="U9" s="79"/>
      <c r="V9" s="77"/>
      <c r="W9" s="78"/>
      <c r="X9" s="78"/>
      <c r="Y9" s="77"/>
      <c r="Z9" s="78"/>
      <c r="AA9" s="79"/>
      <c r="AB9" s="77"/>
      <c r="AC9" s="78"/>
      <c r="AD9" s="79"/>
      <c r="AE9" s="78"/>
      <c r="AF9" s="78"/>
      <c r="AG9" s="87"/>
      <c r="AH9" s="86"/>
      <c r="AI9" s="78"/>
      <c r="AJ9" s="78"/>
      <c r="AK9" s="87"/>
      <c r="AL9" s="86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86"/>
      <c r="AZ9" s="87"/>
    </row>
    <row r="10" spans="1:56" ht="14.25" customHeight="1" thickBot="1" x14ac:dyDescent="0.2">
      <c r="A10" s="88"/>
      <c r="B10" s="82"/>
      <c r="C10" s="80"/>
      <c r="D10" s="82"/>
      <c r="E10" s="117" t="s">
        <v>14</v>
      </c>
      <c r="F10" s="118"/>
      <c r="G10" s="118"/>
      <c r="H10" s="119"/>
      <c r="I10" s="120" t="s">
        <v>14</v>
      </c>
      <c r="J10" s="118"/>
      <c r="K10" s="118"/>
      <c r="L10" s="118"/>
      <c r="M10" s="97">
        <v>0.91666666666666663</v>
      </c>
      <c r="N10" s="98"/>
      <c r="O10" s="99"/>
      <c r="P10" s="97">
        <v>1.2083333333333333</v>
      </c>
      <c r="Q10" s="98"/>
      <c r="R10" s="99"/>
      <c r="S10" s="81"/>
      <c r="T10" s="81"/>
      <c r="U10" s="82"/>
      <c r="V10" s="80"/>
      <c r="W10" s="81"/>
      <c r="X10" s="81"/>
      <c r="Y10" s="80"/>
      <c r="Z10" s="81"/>
      <c r="AA10" s="82"/>
      <c r="AB10" s="80"/>
      <c r="AC10" s="81"/>
      <c r="AD10" s="82"/>
      <c r="AE10" s="81"/>
      <c r="AF10" s="81"/>
      <c r="AG10" s="89"/>
      <c r="AH10" s="88"/>
      <c r="AI10" s="81"/>
      <c r="AJ10" s="81"/>
      <c r="AK10" s="89"/>
      <c r="AL10" s="88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8"/>
      <c r="AZ10" s="89"/>
    </row>
    <row r="11" spans="1:56" ht="24" customHeight="1" x14ac:dyDescent="0.15">
      <c r="A11" s="32">
        <f>A3</f>
        <v>43160</v>
      </c>
      <c r="B11" s="33"/>
      <c r="C11" s="34" t="str">
        <f>IF(A11&lt;&gt;"",TEXT(A11,"aaa"),"")</f>
        <v>木</v>
      </c>
      <c r="D11" s="35"/>
      <c r="E11" s="36">
        <v>0.375</v>
      </c>
      <c r="F11" s="37"/>
      <c r="G11" s="37"/>
      <c r="H11" s="38"/>
      <c r="I11" s="39">
        <v>1.1979166666666667</v>
      </c>
      <c r="J11" s="37"/>
      <c r="K11" s="37"/>
      <c r="L11" s="40"/>
      <c r="M11" s="36">
        <v>4.1666666666666664E-2</v>
      </c>
      <c r="N11" s="37"/>
      <c r="O11" s="40"/>
      <c r="P11" s="36"/>
      <c r="Q11" s="37"/>
      <c r="R11" s="40"/>
      <c r="S11" s="41">
        <f t="shared" ref="S11:S41" si="0">I11-E11</f>
        <v>0.82291666666666674</v>
      </c>
      <c r="T11" s="41"/>
      <c r="U11" s="42"/>
      <c r="V11" s="43">
        <f>S11-M11-P11</f>
        <v>0.78125000000000011</v>
      </c>
      <c r="W11" s="44"/>
      <c r="X11" s="44"/>
      <c r="Y11" s="61">
        <f t="shared" ref="Y11:Y41" si="1">IF(V11&gt;TIME(8,0,0),V11-TIME(8,0,0),"")</f>
        <v>0.4479166666666668</v>
      </c>
      <c r="Z11" s="62"/>
      <c r="AA11" s="63"/>
      <c r="AB11" s="45">
        <f t="shared" ref="AB11:AB41" si="2">IF(I11&gt;$P$9,IF(I11&gt;$P$10,TIME(7,0,0)-P11,I11-TIME(22,0,0)-P11),"")</f>
        <v>0.28125000000000011</v>
      </c>
      <c r="AC11" s="41"/>
      <c r="AD11" s="42"/>
      <c r="AE11" s="41" t="str">
        <f t="shared" ref="AE11:AE41" si="3">IF(AH11="休日出勤",V11,"")</f>
        <v/>
      </c>
      <c r="AF11" s="41"/>
      <c r="AG11" s="69"/>
      <c r="AH11" s="100"/>
      <c r="AI11" s="37"/>
      <c r="AJ11" s="37"/>
      <c r="AK11" s="101"/>
      <c r="AL11" s="49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1"/>
      <c r="AZ11" s="52"/>
      <c r="BD11" s="6"/>
    </row>
    <row r="12" spans="1:56" ht="24" customHeight="1" x14ac:dyDescent="0.15">
      <c r="A12" s="102">
        <f>IF(ROW()-10&lt;=$J$3,A11+1,"")</f>
        <v>43161</v>
      </c>
      <c r="B12" s="103"/>
      <c r="C12" s="104" t="str">
        <f t="shared" ref="C12:C41" si="4">IF(A12&lt;&gt;"",TEXT(A12,"aaa"),"")</f>
        <v>金</v>
      </c>
      <c r="D12" s="104"/>
      <c r="E12" s="105">
        <v>0.375</v>
      </c>
      <c r="F12" s="106"/>
      <c r="G12" s="106"/>
      <c r="H12" s="107"/>
      <c r="I12" s="108">
        <v>1.0833333333333333</v>
      </c>
      <c r="J12" s="106"/>
      <c r="K12" s="106"/>
      <c r="L12" s="109"/>
      <c r="M12" s="105">
        <v>4.1666666666666664E-2</v>
      </c>
      <c r="N12" s="106"/>
      <c r="O12" s="109"/>
      <c r="P12" s="105">
        <v>4.1666666666666664E-2</v>
      </c>
      <c r="Q12" s="106"/>
      <c r="R12" s="109"/>
      <c r="S12" s="62">
        <f t="shared" si="0"/>
        <v>0.70833333333333326</v>
      </c>
      <c r="T12" s="62"/>
      <c r="U12" s="63"/>
      <c r="V12" s="61">
        <f>S12-M12-P12</f>
        <v>0.625</v>
      </c>
      <c r="W12" s="62"/>
      <c r="X12" s="62"/>
      <c r="Y12" s="61">
        <f t="shared" si="1"/>
        <v>0.29166666666666669</v>
      </c>
      <c r="Z12" s="62"/>
      <c r="AA12" s="63"/>
      <c r="AB12" s="43">
        <f t="shared" si="2"/>
        <v>0.12499999999999997</v>
      </c>
      <c r="AC12" s="44"/>
      <c r="AD12" s="68"/>
      <c r="AE12" s="44" t="str">
        <f t="shared" si="3"/>
        <v/>
      </c>
      <c r="AF12" s="44"/>
      <c r="AG12" s="64"/>
      <c r="AH12" s="65"/>
      <c r="AI12" s="66"/>
      <c r="AJ12" s="66"/>
      <c r="AK12" s="67"/>
      <c r="AL12" s="16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20"/>
      <c r="AZ12" s="21"/>
      <c r="BD12" s="6"/>
    </row>
    <row r="13" spans="1:56" ht="24" customHeight="1" x14ac:dyDescent="0.15">
      <c r="A13" s="102">
        <f>IF(ROW()-10&lt;=$J$3,A12+1,"")</f>
        <v>43162</v>
      </c>
      <c r="B13" s="103"/>
      <c r="C13" s="104" t="str">
        <f t="shared" si="4"/>
        <v>土</v>
      </c>
      <c r="D13" s="104"/>
      <c r="E13" s="105"/>
      <c r="F13" s="106"/>
      <c r="G13" s="106"/>
      <c r="H13" s="107"/>
      <c r="I13" s="108"/>
      <c r="J13" s="106"/>
      <c r="K13" s="106"/>
      <c r="L13" s="109"/>
      <c r="M13" s="105"/>
      <c r="N13" s="106"/>
      <c r="O13" s="109"/>
      <c r="P13" s="105"/>
      <c r="Q13" s="106"/>
      <c r="R13" s="109"/>
      <c r="S13" s="62">
        <f t="shared" si="0"/>
        <v>0</v>
      </c>
      <c r="T13" s="62"/>
      <c r="U13" s="63"/>
      <c r="V13" s="61">
        <f t="shared" ref="V13:V41" si="5">S13-M13-P13</f>
        <v>0</v>
      </c>
      <c r="W13" s="62"/>
      <c r="X13" s="62"/>
      <c r="Y13" s="61" t="str">
        <f t="shared" si="1"/>
        <v/>
      </c>
      <c r="Z13" s="62"/>
      <c r="AA13" s="63"/>
      <c r="AB13" s="43" t="str">
        <f t="shared" si="2"/>
        <v/>
      </c>
      <c r="AC13" s="44"/>
      <c r="AD13" s="68"/>
      <c r="AE13" s="44" t="str">
        <f t="shared" si="3"/>
        <v/>
      </c>
      <c r="AF13" s="44"/>
      <c r="AG13" s="64"/>
      <c r="AH13" s="65"/>
      <c r="AI13" s="66"/>
      <c r="AJ13" s="66"/>
      <c r="AK13" s="67"/>
      <c r="AL13" s="16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20"/>
      <c r="AZ13" s="21"/>
    </row>
    <row r="14" spans="1:56" ht="24" customHeight="1" x14ac:dyDescent="0.15">
      <c r="A14" s="102">
        <f t="shared" ref="A14:A41" si="6">IF(ROW()-10&lt;=$J$3,A13+1,"")</f>
        <v>43163</v>
      </c>
      <c r="B14" s="103"/>
      <c r="C14" s="104" t="str">
        <f t="shared" si="4"/>
        <v>日</v>
      </c>
      <c r="D14" s="104"/>
      <c r="E14" s="105"/>
      <c r="F14" s="106"/>
      <c r="G14" s="106"/>
      <c r="H14" s="107"/>
      <c r="I14" s="108"/>
      <c r="J14" s="106"/>
      <c r="K14" s="106"/>
      <c r="L14" s="109"/>
      <c r="M14" s="105"/>
      <c r="N14" s="106"/>
      <c r="O14" s="109"/>
      <c r="P14" s="105"/>
      <c r="Q14" s="106"/>
      <c r="R14" s="109"/>
      <c r="S14" s="62">
        <f t="shared" si="0"/>
        <v>0</v>
      </c>
      <c r="T14" s="62"/>
      <c r="U14" s="63"/>
      <c r="V14" s="61">
        <f t="shared" si="5"/>
        <v>0</v>
      </c>
      <c r="W14" s="62"/>
      <c r="X14" s="62"/>
      <c r="Y14" s="61" t="str">
        <f t="shared" si="1"/>
        <v/>
      </c>
      <c r="Z14" s="62"/>
      <c r="AA14" s="63"/>
      <c r="AB14" s="43" t="str">
        <f t="shared" si="2"/>
        <v/>
      </c>
      <c r="AC14" s="44"/>
      <c r="AD14" s="68"/>
      <c r="AE14" s="44" t="str">
        <f t="shared" si="3"/>
        <v/>
      </c>
      <c r="AF14" s="44"/>
      <c r="AG14" s="64"/>
      <c r="AH14" s="65"/>
      <c r="AI14" s="66"/>
      <c r="AJ14" s="66"/>
      <c r="AK14" s="67"/>
      <c r="AL14" s="16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20"/>
      <c r="AZ14" s="21"/>
    </row>
    <row r="15" spans="1:56" ht="24" customHeight="1" x14ac:dyDescent="0.15">
      <c r="A15" s="102">
        <f t="shared" si="6"/>
        <v>43164</v>
      </c>
      <c r="B15" s="103"/>
      <c r="C15" s="104" t="str">
        <f t="shared" si="4"/>
        <v>月</v>
      </c>
      <c r="D15" s="104"/>
      <c r="E15" s="105"/>
      <c r="F15" s="106"/>
      <c r="G15" s="106"/>
      <c r="H15" s="107"/>
      <c r="I15" s="108"/>
      <c r="J15" s="106"/>
      <c r="K15" s="106"/>
      <c r="L15" s="109"/>
      <c r="M15" s="105"/>
      <c r="N15" s="106"/>
      <c r="O15" s="109"/>
      <c r="P15" s="105"/>
      <c r="Q15" s="106"/>
      <c r="R15" s="109"/>
      <c r="S15" s="62">
        <f t="shared" si="0"/>
        <v>0</v>
      </c>
      <c r="T15" s="62"/>
      <c r="U15" s="63"/>
      <c r="V15" s="61">
        <f t="shared" si="5"/>
        <v>0</v>
      </c>
      <c r="W15" s="62"/>
      <c r="X15" s="62"/>
      <c r="Y15" s="61" t="str">
        <f t="shared" si="1"/>
        <v/>
      </c>
      <c r="Z15" s="62"/>
      <c r="AA15" s="63"/>
      <c r="AB15" s="43" t="str">
        <f t="shared" si="2"/>
        <v/>
      </c>
      <c r="AC15" s="44"/>
      <c r="AD15" s="68"/>
      <c r="AE15" s="44" t="str">
        <f t="shared" si="3"/>
        <v/>
      </c>
      <c r="AF15" s="44"/>
      <c r="AG15" s="64"/>
      <c r="AH15" s="65" t="s">
        <v>19</v>
      </c>
      <c r="AI15" s="66"/>
      <c r="AJ15" s="66"/>
      <c r="AK15" s="67"/>
      <c r="AL15" s="16" t="s">
        <v>33</v>
      </c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20"/>
      <c r="AZ15" s="21"/>
    </row>
    <row r="16" spans="1:56" ht="24" customHeight="1" x14ac:dyDescent="0.15">
      <c r="A16" s="102">
        <f t="shared" si="6"/>
        <v>43165</v>
      </c>
      <c r="B16" s="103"/>
      <c r="C16" s="104" t="str">
        <f t="shared" si="4"/>
        <v>火</v>
      </c>
      <c r="D16" s="104"/>
      <c r="E16" s="105">
        <v>0.5</v>
      </c>
      <c r="F16" s="106"/>
      <c r="G16" s="106"/>
      <c r="H16" s="107"/>
      <c r="I16" s="108">
        <v>0.75</v>
      </c>
      <c r="J16" s="106"/>
      <c r="K16" s="106"/>
      <c r="L16" s="109"/>
      <c r="M16" s="105"/>
      <c r="N16" s="106"/>
      <c r="O16" s="109"/>
      <c r="P16" s="105"/>
      <c r="Q16" s="106"/>
      <c r="R16" s="109"/>
      <c r="S16" s="62">
        <f t="shared" si="0"/>
        <v>0.25</v>
      </c>
      <c r="T16" s="62"/>
      <c r="U16" s="63"/>
      <c r="V16" s="61">
        <f t="shared" si="5"/>
        <v>0.25</v>
      </c>
      <c r="W16" s="62"/>
      <c r="X16" s="62"/>
      <c r="Y16" s="61" t="str">
        <f t="shared" si="1"/>
        <v/>
      </c>
      <c r="Z16" s="62"/>
      <c r="AA16" s="63"/>
      <c r="AB16" s="43" t="str">
        <f t="shared" si="2"/>
        <v/>
      </c>
      <c r="AC16" s="44"/>
      <c r="AD16" s="68"/>
      <c r="AE16" s="44" t="str">
        <f t="shared" si="3"/>
        <v/>
      </c>
      <c r="AF16" s="44"/>
      <c r="AG16" s="64"/>
      <c r="AH16" s="65" t="s">
        <v>19</v>
      </c>
      <c r="AI16" s="66"/>
      <c r="AJ16" s="66"/>
      <c r="AK16" s="67"/>
      <c r="AL16" s="16" t="s">
        <v>34</v>
      </c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20"/>
      <c r="AZ16" s="21"/>
    </row>
    <row r="17" spans="1:52" ht="24" customHeight="1" x14ac:dyDescent="0.15">
      <c r="A17" s="102">
        <f t="shared" si="6"/>
        <v>43166</v>
      </c>
      <c r="B17" s="103"/>
      <c r="C17" s="104" t="str">
        <f t="shared" si="4"/>
        <v>水</v>
      </c>
      <c r="D17" s="104"/>
      <c r="E17" s="105">
        <v>0.375</v>
      </c>
      <c r="F17" s="106"/>
      <c r="G17" s="106"/>
      <c r="H17" s="107"/>
      <c r="I17" s="108">
        <v>0.58333333333333337</v>
      </c>
      <c r="J17" s="106"/>
      <c r="K17" s="106"/>
      <c r="L17" s="109"/>
      <c r="M17" s="105"/>
      <c r="N17" s="106"/>
      <c r="O17" s="109"/>
      <c r="P17" s="105"/>
      <c r="Q17" s="106"/>
      <c r="R17" s="109"/>
      <c r="S17" s="62">
        <f t="shared" si="0"/>
        <v>0.20833333333333337</v>
      </c>
      <c r="T17" s="62"/>
      <c r="U17" s="63"/>
      <c r="V17" s="61">
        <f t="shared" si="5"/>
        <v>0.20833333333333337</v>
      </c>
      <c r="W17" s="62"/>
      <c r="X17" s="62"/>
      <c r="Y17" s="61" t="str">
        <f t="shared" si="1"/>
        <v/>
      </c>
      <c r="Z17" s="62"/>
      <c r="AA17" s="63"/>
      <c r="AB17" s="43" t="str">
        <f t="shared" si="2"/>
        <v/>
      </c>
      <c r="AC17" s="44"/>
      <c r="AD17" s="68"/>
      <c r="AE17" s="44" t="str">
        <f t="shared" si="3"/>
        <v/>
      </c>
      <c r="AF17" s="44"/>
      <c r="AG17" s="64"/>
      <c r="AH17" s="65" t="s">
        <v>19</v>
      </c>
      <c r="AI17" s="66"/>
      <c r="AJ17" s="66"/>
      <c r="AK17" s="67"/>
      <c r="AL17" s="16" t="s">
        <v>35</v>
      </c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20"/>
      <c r="AZ17" s="21"/>
    </row>
    <row r="18" spans="1:52" ht="24" customHeight="1" x14ac:dyDescent="0.15">
      <c r="A18" s="102">
        <f t="shared" si="6"/>
        <v>43167</v>
      </c>
      <c r="B18" s="103"/>
      <c r="C18" s="104" t="str">
        <f t="shared" si="4"/>
        <v>木</v>
      </c>
      <c r="D18" s="104"/>
      <c r="E18" s="105">
        <v>0.38541666666666669</v>
      </c>
      <c r="F18" s="106"/>
      <c r="G18" s="106"/>
      <c r="H18" s="107"/>
      <c r="I18" s="108">
        <v>0.79166666666666663</v>
      </c>
      <c r="J18" s="106"/>
      <c r="K18" s="106"/>
      <c r="L18" s="109"/>
      <c r="M18" s="105">
        <v>4.1666666666666664E-2</v>
      </c>
      <c r="N18" s="106"/>
      <c r="O18" s="109"/>
      <c r="P18" s="105"/>
      <c r="Q18" s="106"/>
      <c r="R18" s="109"/>
      <c r="S18" s="62">
        <f t="shared" si="0"/>
        <v>0.40624999999999994</v>
      </c>
      <c r="T18" s="62"/>
      <c r="U18" s="63"/>
      <c r="V18" s="61">
        <f t="shared" si="5"/>
        <v>0.36458333333333326</v>
      </c>
      <c r="W18" s="62"/>
      <c r="X18" s="62"/>
      <c r="Y18" s="61">
        <f t="shared" si="1"/>
        <v>3.1249999999999944E-2</v>
      </c>
      <c r="Z18" s="62"/>
      <c r="AA18" s="63"/>
      <c r="AB18" s="43" t="str">
        <f t="shared" si="2"/>
        <v/>
      </c>
      <c r="AC18" s="44"/>
      <c r="AD18" s="68"/>
      <c r="AE18" s="44" t="str">
        <f t="shared" si="3"/>
        <v/>
      </c>
      <c r="AF18" s="44"/>
      <c r="AG18" s="64"/>
      <c r="AH18" s="65" t="s">
        <v>18</v>
      </c>
      <c r="AI18" s="66"/>
      <c r="AJ18" s="66"/>
      <c r="AK18" s="67"/>
      <c r="AL18" s="16" t="s">
        <v>36</v>
      </c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20"/>
      <c r="AZ18" s="21"/>
    </row>
    <row r="19" spans="1:52" ht="24" customHeight="1" x14ac:dyDescent="0.15">
      <c r="A19" s="102">
        <f t="shared" si="6"/>
        <v>43168</v>
      </c>
      <c r="B19" s="103"/>
      <c r="C19" s="104" t="str">
        <f t="shared" si="4"/>
        <v>金</v>
      </c>
      <c r="D19" s="104"/>
      <c r="E19" s="105">
        <v>0.375</v>
      </c>
      <c r="F19" s="106"/>
      <c r="G19" s="106"/>
      <c r="H19" s="107"/>
      <c r="I19" s="108">
        <v>0.70833333333333337</v>
      </c>
      <c r="J19" s="106"/>
      <c r="K19" s="106"/>
      <c r="L19" s="109"/>
      <c r="M19" s="105">
        <v>4.1666666666666664E-2</v>
      </c>
      <c r="N19" s="106"/>
      <c r="O19" s="109"/>
      <c r="P19" s="105"/>
      <c r="Q19" s="106"/>
      <c r="R19" s="109"/>
      <c r="S19" s="62">
        <f t="shared" si="0"/>
        <v>0.33333333333333337</v>
      </c>
      <c r="T19" s="62"/>
      <c r="U19" s="63"/>
      <c r="V19" s="61">
        <f t="shared" si="5"/>
        <v>0.29166666666666669</v>
      </c>
      <c r="W19" s="62"/>
      <c r="X19" s="62"/>
      <c r="Y19" s="61" t="str">
        <f t="shared" si="1"/>
        <v/>
      </c>
      <c r="Z19" s="62"/>
      <c r="AA19" s="63"/>
      <c r="AB19" s="43" t="str">
        <f t="shared" si="2"/>
        <v/>
      </c>
      <c r="AC19" s="44"/>
      <c r="AD19" s="68"/>
      <c r="AE19" s="44" t="str">
        <f t="shared" si="3"/>
        <v/>
      </c>
      <c r="AF19" s="44"/>
      <c r="AG19" s="64"/>
      <c r="AH19" s="65" t="s">
        <v>21</v>
      </c>
      <c r="AI19" s="66"/>
      <c r="AJ19" s="66"/>
      <c r="AK19" s="67"/>
      <c r="AL19" s="16" t="s">
        <v>37</v>
      </c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20"/>
      <c r="AZ19" s="21"/>
    </row>
    <row r="20" spans="1:52" ht="24" customHeight="1" x14ac:dyDescent="0.15">
      <c r="A20" s="102">
        <f t="shared" si="6"/>
        <v>43169</v>
      </c>
      <c r="B20" s="103"/>
      <c r="C20" s="104" t="str">
        <f t="shared" si="4"/>
        <v>土</v>
      </c>
      <c r="D20" s="104"/>
      <c r="E20" s="105"/>
      <c r="F20" s="106"/>
      <c r="G20" s="106"/>
      <c r="H20" s="107"/>
      <c r="I20" s="108"/>
      <c r="J20" s="106"/>
      <c r="K20" s="106"/>
      <c r="L20" s="109"/>
      <c r="M20" s="105"/>
      <c r="N20" s="106"/>
      <c r="O20" s="109"/>
      <c r="P20" s="105"/>
      <c r="Q20" s="106"/>
      <c r="R20" s="109"/>
      <c r="S20" s="62">
        <f t="shared" si="0"/>
        <v>0</v>
      </c>
      <c r="T20" s="62"/>
      <c r="U20" s="63"/>
      <c r="V20" s="61">
        <f t="shared" si="5"/>
        <v>0</v>
      </c>
      <c r="W20" s="62"/>
      <c r="X20" s="62"/>
      <c r="Y20" s="61" t="str">
        <f t="shared" si="1"/>
        <v/>
      </c>
      <c r="Z20" s="62"/>
      <c r="AA20" s="63"/>
      <c r="AB20" s="43" t="str">
        <f t="shared" si="2"/>
        <v/>
      </c>
      <c r="AC20" s="44"/>
      <c r="AD20" s="68"/>
      <c r="AE20" s="44" t="str">
        <f t="shared" si="3"/>
        <v/>
      </c>
      <c r="AF20" s="44"/>
      <c r="AG20" s="64"/>
      <c r="AH20" s="65"/>
      <c r="AI20" s="66"/>
      <c r="AJ20" s="66"/>
      <c r="AK20" s="67"/>
      <c r="AL20" s="16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20"/>
      <c r="AZ20" s="21"/>
    </row>
    <row r="21" spans="1:52" ht="24" customHeight="1" x14ac:dyDescent="0.15">
      <c r="A21" s="102">
        <f t="shared" si="6"/>
        <v>43170</v>
      </c>
      <c r="B21" s="103"/>
      <c r="C21" s="104" t="str">
        <f t="shared" si="4"/>
        <v>日</v>
      </c>
      <c r="D21" s="104"/>
      <c r="E21" s="105">
        <v>0.375</v>
      </c>
      <c r="F21" s="106"/>
      <c r="G21" s="106"/>
      <c r="H21" s="107"/>
      <c r="I21" s="108">
        <v>0.75</v>
      </c>
      <c r="J21" s="106"/>
      <c r="K21" s="106"/>
      <c r="L21" s="109"/>
      <c r="M21" s="105">
        <v>4.1666666666666664E-2</v>
      </c>
      <c r="N21" s="106"/>
      <c r="O21" s="109"/>
      <c r="P21" s="105"/>
      <c r="Q21" s="106"/>
      <c r="R21" s="109"/>
      <c r="S21" s="62">
        <f t="shared" si="0"/>
        <v>0.375</v>
      </c>
      <c r="T21" s="62"/>
      <c r="U21" s="63"/>
      <c r="V21" s="61">
        <f t="shared" si="5"/>
        <v>0.33333333333333331</v>
      </c>
      <c r="W21" s="62"/>
      <c r="X21" s="62"/>
      <c r="Y21" s="61" t="str">
        <f t="shared" si="1"/>
        <v/>
      </c>
      <c r="Z21" s="62"/>
      <c r="AA21" s="63"/>
      <c r="AB21" s="43" t="str">
        <f t="shared" si="2"/>
        <v/>
      </c>
      <c r="AC21" s="44"/>
      <c r="AD21" s="68"/>
      <c r="AE21" s="44" t="str">
        <f t="shared" si="3"/>
        <v/>
      </c>
      <c r="AF21" s="44"/>
      <c r="AG21" s="64"/>
      <c r="AH21" s="65" t="s">
        <v>29</v>
      </c>
      <c r="AI21" s="66"/>
      <c r="AJ21" s="66"/>
      <c r="AK21" s="67"/>
      <c r="AL21" s="16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20"/>
      <c r="AZ21" s="21"/>
    </row>
    <row r="22" spans="1:52" ht="24" customHeight="1" x14ac:dyDescent="0.15">
      <c r="A22" s="102">
        <f t="shared" si="6"/>
        <v>43171</v>
      </c>
      <c r="B22" s="103"/>
      <c r="C22" s="104" t="str">
        <f t="shared" si="4"/>
        <v>月</v>
      </c>
      <c r="D22" s="104"/>
      <c r="E22" s="105">
        <v>0.375</v>
      </c>
      <c r="F22" s="106"/>
      <c r="G22" s="106"/>
      <c r="H22" s="107"/>
      <c r="I22" s="108">
        <v>1.25</v>
      </c>
      <c r="J22" s="106"/>
      <c r="K22" s="106"/>
      <c r="L22" s="109"/>
      <c r="M22" s="105">
        <v>8.3333333333333329E-2</v>
      </c>
      <c r="N22" s="106"/>
      <c r="O22" s="109"/>
      <c r="P22" s="105">
        <v>8.3333333333333329E-2</v>
      </c>
      <c r="Q22" s="106"/>
      <c r="R22" s="109"/>
      <c r="S22" s="62">
        <f t="shared" si="0"/>
        <v>0.875</v>
      </c>
      <c r="T22" s="62"/>
      <c r="U22" s="63"/>
      <c r="V22" s="61">
        <f t="shared" si="5"/>
        <v>0.70833333333333326</v>
      </c>
      <c r="W22" s="62"/>
      <c r="X22" s="62"/>
      <c r="Y22" s="61">
        <f t="shared" si="1"/>
        <v>0.37499999999999994</v>
      </c>
      <c r="Z22" s="62"/>
      <c r="AA22" s="63"/>
      <c r="AB22" s="43">
        <f t="shared" si="2"/>
        <v>0.20833333333333337</v>
      </c>
      <c r="AC22" s="44"/>
      <c r="AD22" s="68"/>
      <c r="AE22" s="44" t="str">
        <f t="shared" si="3"/>
        <v/>
      </c>
      <c r="AF22" s="44"/>
      <c r="AG22" s="64"/>
      <c r="AH22" s="65"/>
      <c r="AI22" s="66"/>
      <c r="AJ22" s="66"/>
      <c r="AK22" s="67"/>
      <c r="AL22" s="16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20"/>
      <c r="AZ22" s="21"/>
    </row>
    <row r="23" spans="1:52" ht="24" customHeight="1" x14ac:dyDescent="0.15">
      <c r="A23" s="102">
        <f t="shared" si="6"/>
        <v>43172</v>
      </c>
      <c r="B23" s="103"/>
      <c r="C23" s="104" t="str">
        <f t="shared" si="4"/>
        <v>火</v>
      </c>
      <c r="D23" s="104"/>
      <c r="E23" s="105">
        <v>0.20833333333333334</v>
      </c>
      <c r="F23" s="106"/>
      <c r="G23" s="106"/>
      <c r="H23" s="107"/>
      <c r="I23" s="108">
        <v>0.875</v>
      </c>
      <c r="J23" s="106"/>
      <c r="K23" s="106"/>
      <c r="L23" s="109"/>
      <c r="M23" s="105">
        <v>4.1666666666666664E-2</v>
      </c>
      <c r="N23" s="106"/>
      <c r="O23" s="109"/>
      <c r="P23" s="105"/>
      <c r="Q23" s="106"/>
      <c r="R23" s="109"/>
      <c r="S23" s="62">
        <f t="shared" si="0"/>
        <v>0.66666666666666663</v>
      </c>
      <c r="T23" s="62"/>
      <c r="U23" s="63"/>
      <c r="V23" s="61">
        <f t="shared" si="5"/>
        <v>0.625</v>
      </c>
      <c r="W23" s="62"/>
      <c r="X23" s="62"/>
      <c r="Y23" s="61">
        <f t="shared" si="1"/>
        <v>0.29166666666666669</v>
      </c>
      <c r="Z23" s="62"/>
      <c r="AA23" s="63"/>
      <c r="AB23" s="43" t="str">
        <f t="shared" si="2"/>
        <v/>
      </c>
      <c r="AC23" s="44"/>
      <c r="AD23" s="68"/>
      <c r="AE23" s="44" t="str">
        <f t="shared" si="3"/>
        <v/>
      </c>
      <c r="AF23" s="44"/>
      <c r="AG23" s="64"/>
      <c r="AH23" s="65"/>
      <c r="AI23" s="66"/>
      <c r="AJ23" s="66"/>
      <c r="AK23" s="67"/>
      <c r="AL23" s="16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20"/>
      <c r="AZ23" s="21"/>
    </row>
    <row r="24" spans="1:52" ht="24" customHeight="1" x14ac:dyDescent="0.15">
      <c r="A24" s="102">
        <f t="shared" si="6"/>
        <v>43173</v>
      </c>
      <c r="B24" s="103"/>
      <c r="C24" s="104" t="str">
        <f t="shared" si="4"/>
        <v>水</v>
      </c>
      <c r="D24" s="104"/>
      <c r="E24" s="105">
        <v>0.91666666666666663</v>
      </c>
      <c r="F24" s="106"/>
      <c r="G24" s="106"/>
      <c r="H24" s="107"/>
      <c r="I24" s="108">
        <v>1.375</v>
      </c>
      <c r="J24" s="106"/>
      <c r="K24" s="106"/>
      <c r="L24" s="109"/>
      <c r="M24" s="105"/>
      <c r="N24" s="106"/>
      <c r="O24" s="109"/>
      <c r="P24" s="105">
        <v>4.1666666666666664E-2</v>
      </c>
      <c r="Q24" s="106"/>
      <c r="R24" s="109"/>
      <c r="S24" s="62">
        <f t="shared" si="0"/>
        <v>0.45833333333333337</v>
      </c>
      <c r="T24" s="62"/>
      <c r="U24" s="63"/>
      <c r="V24" s="61">
        <f t="shared" si="5"/>
        <v>0.41666666666666669</v>
      </c>
      <c r="W24" s="62"/>
      <c r="X24" s="62"/>
      <c r="Y24" s="61">
        <f t="shared" si="1"/>
        <v>8.333333333333337E-2</v>
      </c>
      <c r="Z24" s="62"/>
      <c r="AA24" s="63"/>
      <c r="AB24" s="43">
        <f t="shared" si="2"/>
        <v>0.25</v>
      </c>
      <c r="AC24" s="44"/>
      <c r="AD24" s="68"/>
      <c r="AE24" s="44" t="str">
        <f t="shared" si="3"/>
        <v/>
      </c>
      <c r="AF24" s="44"/>
      <c r="AG24" s="64"/>
      <c r="AH24" s="65"/>
      <c r="AI24" s="66"/>
      <c r="AJ24" s="66"/>
      <c r="AK24" s="67"/>
      <c r="AL24" s="16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20"/>
      <c r="AZ24" s="21"/>
    </row>
    <row r="25" spans="1:52" ht="24" customHeight="1" x14ac:dyDescent="0.15">
      <c r="A25" s="102">
        <f t="shared" si="6"/>
        <v>43174</v>
      </c>
      <c r="B25" s="103"/>
      <c r="C25" s="104" t="str">
        <f t="shared" si="4"/>
        <v>木</v>
      </c>
      <c r="D25" s="104"/>
      <c r="E25" s="105"/>
      <c r="F25" s="106"/>
      <c r="G25" s="106"/>
      <c r="H25" s="107"/>
      <c r="I25" s="108"/>
      <c r="J25" s="106"/>
      <c r="K25" s="106"/>
      <c r="L25" s="109"/>
      <c r="M25" s="105"/>
      <c r="N25" s="106"/>
      <c r="O25" s="109"/>
      <c r="P25" s="105"/>
      <c r="Q25" s="106"/>
      <c r="R25" s="109"/>
      <c r="S25" s="62">
        <f t="shared" si="0"/>
        <v>0</v>
      </c>
      <c r="T25" s="62"/>
      <c r="U25" s="63"/>
      <c r="V25" s="61">
        <f t="shared" si="5"/>
        <v>0</v>
      </c>
      <c r="W25" s="62"/>
      <c r="X25" s="62"/>
      <c r="Y25" s="61" t="str">
        <f t="shared" si="1"/>
        <v/>
      </c>
      <c r="Z25" s="62"/>
      <c r="AA25" s="63"/>
      <c r="AB25" s="43" t="str">
        <f t="shared" si="2"/>
        <v/>
      </c>
      <c r="AC25" s="44"/>
      <c r="AD25" s="68"/>
      <c r="AE25" s="44" t="str">
        <f t="shared" si="3"/>
        <v/>
      </c>
      <c r="AF25" s="44"/>
      <c r="AG25" s="64"/>
      <c r="AH25" s="65" t="s">
        <v>30</v>
      </c>
      <c r="AI25" s="66"/>
      <c r="AJ25" s="66"/>
      <c r="AK25" s="67"/>
      <c r="AL25" s="16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20"/>
      <c r="AZ25" s="21"/>
    </row>
    <row r="26" spans="1:52" ht="24" customHeight="1" x14ac:dyDescent="0.15">
      <c r="A26" s="102">
        <f t="shared" si="6"/>
        <v>43175</v>
      </c>
      <c r="B26" s="103"/>
      <c r="C26" s="104" t="str">
        <f t="shared" si="4"/>
        <v>金</v>
      </c>
      <c r="D26" s="104"/>
      <c r="E26" s="105"/>
      <c r="F26" s="106"/>
      <c r="G26" s="106"/>
      <c r="H26" s="107"/>
      <c r="I26" s="108"/>
      <c r="J26" s="106"/>
      <c r="K26" s="106"/>
      <c r="L26" s="109"/>
      <c r="M26" s="105"/>
      <c r="N26" s="106"/>
      <c r="O26" s="109"/>
      <c r="P26" s="105"/>
      <c r="Q26" s="106"/>
      <c r="R26" s="109"/>
      <c r="S26" s="62">
        <f t="shared" si="0"/>
        <v>0</v>
      </c>
      <c r="T26" s="62"/>
      <c r="U26" s="63"/>
      <c r="V26" s="61">
        <f t="shared" si="5"/>
        <v>0</v>
      </c>
      <c r="W26" s="62"/>
      <c r="X26" s="62"/>
      <c r="Y26" s="61" t="str">
        <f t="shared" si="1"/>
        <v/>
      </c>
      <c r="Z26" s="62"/>
      <c r="AA26" s="63"/>
      <c r="AB26" s="43" t="str">
        <f t="shared" si="2"/>
        <v/>
      </c>
      <c r="AC26" s="44"/>
      <c r="AD26" s="68"/>
      <c r="AE26" s="44" t="str">
        <f t="shared" si="3"/>
        <v/>
      </c>
      <c r="AF26" s="44"/>
      <c r="AG26" s="64"/>
      <c r="AH26" s="65" t="s">
        <v>31</v>
      </c>
      <c r="AI26" s="66"/>
      <c r="AJ26" s="66"/>
      <c r="AK26" s="67"/>
      <c r="AL26" s="16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20"/>
      <c r="AZ26" s="21"/>
    </row>
    <row r="27" spans="1:52" ht="24" customHeight="1" x14ac:dyDescent="0.15">
      <c r="A27" s="102">
        <f t="shared" si="6"/>
        <v>43176</v>
      </c>
      <c r="B27" s="103"/>
      <c r="C27" s="104" t="str">
        <f t="shared" si="4"/>
        <v>土</v>
      </c>
      <c r="D27" s="104"/>
      <c r="E27" s="105">
        <v>0.54166666666666663</v>
      </c>
      <c r="F27" s="106"/>
      <c r="G27" s="106"/>
      <c r="H27" s="107"/>
      <c r="I27" s="108">
        <v>0.83333333333333337</v>
      </c>
      <c r="J27" s="106"/>
      <c r="K27" s="106"/>
      <c r="L27" s="109"/>
      <c r="M27" s="105">
        <v>4.1666666666666664E-2</v>
      </c>
      <c r="N27" s="106"/>
      <c r="O27" s="109"/>
      <c r="P27" s="105"/>
      <c r="Q27" s="106"/>
      <c r="R27" s="109"/>
      <c r="S27" s="62">
        <f t="shared" si="0"/>
        <v>0.29166666666666674</v>
      </c>
      <c r="T27" s="62"/>
      <c r="U27" s="63"/>
      <c r="V27" s="61">
        <f t="shared" si="5"/>
        <v>0.25000000000000006</v>
      </c>
      <c r="W27" s="62"/>
      <c r="X27" s="62"/>
      <c r="Y27" s="61" t="str">
        <f t="shared" si="1"/>
        <v/>
      </c>
      <c r="Z27" s="62"/>
      <c r="AA27" s="63"/>
      <c r="AB27" s="43" t="str">
        <f t="shared" si="2"/>
        <v/>
      </c>
      <c r="AC27" s="44"/>
      <c r="AD27" s="68"/>
      <c r="AE27" s="44">
        <f t="shared" si="3"/>
        <v>0.25000000000000006</v>
      </c>
      <c r="AF27" s="44"/>
      <c r="AG27" s="64"/>
      <c r="AH27" s="65" t="s">
        <v>22</v>
      </c>
      <c r="AI27" s="66"/>
      <c r="AJ27" s="66"/>
      <c r="AK27" s="67"/>
      <c r="AL27" s="16" t="s">
        <v>38</v>
      </c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20"/>
      <c r="AZ27" s="21"/>
    </row>
    <row r="28" spans="1:52" ht="24" customHeight="1" x14ac:dyDescent="0.15">
      <c r="A28" s="102">
        <f t="shared" si="6"/>
        <v>43177</v>
      </c>
      <c r="B28" s="103"/>
      <c r="C28" s="104" t="str">
        <f t="shared" si="4"/>
        <v>日</v>
      </c>
      <c r="D28" s="104"/>
      <c r="E28" s="105"/>
      <c r="F28" s="106"/>
      <c r="G28" s="106"/>
      <c r="H28" s="107"/>
      <c r="I28" s="108"/>
      <c r="J28" s="106"/>
      <c r="K28" s="106"/>
      <c r="L28" s="109"/>
      <c r="M28" s="105"/>
      <c r="N28" s="106"/>
      <c r="O28" s="109"/>
      <c r="P28" s="105"/>
      <c r="Q28" s="106"/>
      <c r="R28" s="109"/>
      <c r="S28" s="62">
        <f t="shared" si="0"/>
        <v>0</v>
      </c>
      <c r="T28" s="62"/>
      <c r="U28" s="63"/>
      <c r="V28" s="61">
        <f t="shared" si="5"/>
        <v>0</v>
      </c>
      <c r="W28" s="62"/>
      <c r="X28" s="62"/>
      <c r="Y28" s="61" t="str">
        <f t="shared" si="1"/>
        <v/>
      </c>
      <c r="Z28" s="62"/>
      <c r="AA28" s="63"/>
      <c r="AB28" s="43" t="str">
        <f t="shared" si="2"/>
        <v/>
      </c>
      <c r="AC28" s="44"/>
      <c r="AD28" s="68"/>
      <c r="AE28" s="44" t="str">
        <f t="shared" si="3"/>
        <v/>
      </c>
      <c r="AF28" s="44"/>
      <c r="AG28" s="64"/>
      <c r="AH28" s="65"/>
      <c r="AI28" s="66"/>
      <c r="AJ28" s="66"/>
      <c r="AK28" s="67"/>
      <c r="AL28" s="16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20"/>
      <c r="AZ28" s="21"/>
    </row>
    <row r="29" spans="1:52" ht="24" customHeight="1" x14ac:dyDescent="0.15">
      <c r="A29" s="102">
        <f t="shared" si="6"/>
        <v>43178</v>
      </c>
      <c r="B29" s="103"/>
      <c r="C29" s="104" t="str">
        <f t="shared" si="4"/>
        <v>月</v>
      </c>
      <c r="D29" s="104"/>
      <c r="E29" s="105">
        <v>0.35416666666666669</v>
      </c>
      <c r="F29" s="106"/>
      <c r="G29" s="106"/>
      <c r="H29" s="107"/>
      <c r="I29" s="108">
        <v>0.97916666666666663</v>
      </c>
      <c r="J29" s="106"/>
      <c r="K29" s="106"/>
      <c r="L29" s="109"/>
      <c r="M29" s="105">
        <v>4.1666666666666664E-2</v>
      </c>
      <c r="N29" s="106"/>
      <c r="O29" s="109"/>
      <c r="P29" s="105">
        <v>2.0833333333333332E-2</v>
      </c>
      <c r="Q29" s="106"/>
      <c r="R29" s="109"/>
      <c r="S29" s="62">
        <f t="shared" si="0"/>
        <v>0.625</v>
      </c>
      <c r="T29" s="62"/>
      <c r="U29" s="63"/>
      <c r="V29" s="61">
        <f t="shared" si="5"/>
        <v>0.5625</v>
      </c>
      <c r="W29" s="62"/>
      <c r="X29" s="62"/>
      <c r="Y29" s="61">
        <f t="shared" si="1"/>
        <v>0.22916666666666669</v>
      </c>
      <c r="Z29" s="62"/>
      <c r="AA29" s="63"/>
      <c r="AB29" s="43">
        <f t="shared" si="2"/>
        <v>4.1666666666666671E-2</v>
      </c>
      <c r="AC29" s="44"/>
      <c r="AD29" s="68"/>
      <c r="AE29" s="44" t="str">
        <f t="shared" si="3"/>
        <v/>
      </c>
      <c r="AF29" s="44"/>
      <c r="AG29" s="64"/>
      <c r="AH29" s="65"/>
      <c r="AI29" s="66"/>
      <c r="AJ29" s="66"/>
      <c r="AK29" s="67"/>
      <c r="AL29" s="16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20"/>
      <c r="AZ29" s="21"/>
    </row>
    <row r="30" spans="1:52" ht="24" customHeight="1" x14ac:dyDescent="0.15">
      <c r="A30" s="102">
        <f t="shared" si="6"/>
        <v>43179</v>
      </c>
      <c r="B30" s="103"/>
      <c r="C30" s="104" t="str">
        <f t="shared" si="4"/>
        <v>火</v>
      </c>
      <c r="D30" s="104"/>
      <c r="E30" s="105">
        <v>0.375</v>
      </c>
      <c r="F30" s="106"/>
      <c r="G30" s="106"/>
      <c r="H30" s="107"/>
      <c r="I30" s="108">
        <v>0.75</v>
      </c>
      <c r="J30" s="106"/>
      <c r="K30" s="106"/>
      <c r="L30" s="109"/>
      <c r="M30" s="105">
        <v>4.1666666666666664E-2</v>
      </c>
      <c r="N30" s="106"/>
      <c r="O30" s="109"/>
      <c r="P30" s="105"/>
      <c r="Q30" s="106"/>
      <c r="R30" s="109"/>
      <c r="S30" s="62">
        <f t="shared" si="0"/>
        <v>0.375</v>
      </c>
      <c r="T30" s="62"/>
      <c r="U30" s="63"/>
      <c r="V30" s="61">
        <f t="shared" si="5"/>
        <v>0.33333333333333331</v>
      </c>
      <c r="W30" s="62"/>
      <c r="X30" s="62"/>
      <c r="Y30" s="61" t="str">
        <f t="shared" si="1"/>
        <v/>
      </c>
      <c r="Z30" s="62"/>
      <c r="AA30" s="63"/>
      <c r="AB30" s="43" t="str">
        <f t="shared" si="2"/>
        <v/>
      </c>
      <c r="AC30" s="44"/>
      <c r="AD30" s="68"/>
      <c r="AE30" s="44" t="str">
        <f t="shared" si="3"/>
        <v/>
      </c>
      <c r="AF30" s="44"/>
      <c r="AG30" s="64"/>
      <c r="AH30" s="65"/>
      <c r="AI30" s="66"/>
      <c r="AJ30" s="66"/>
      <c r="AK30" s="67"/>
      <c r="AL30" s="16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20"/>
      <c r="AZ30" s="21"/>
    </row>
    <row r="31" spans="1:52" ht="24" customHeight="1" x14ac:dyDescent="0.15">
      <c r="A31" s="102">
        <f t="shared" si="6"/>
        <v>43180</v>
      </c>
      <c r="B31" s="103"/>
      <c r="C31" s="104" t="str">
        <f t="shared" si="4"/>
        <v>水</v>
      </c>
      <c r="D31" s="104"/>
      <c r="E31" s="105"/>
      <c r="F31" s="106"/>
      <c r="G31" s="106"/>
      <c r="H31" s="107"/>
      <c r="I31" s="108"/>
      <c r="J31" s="106"/>
      <c r="K31" s="106"/>
      <c r="L31" s="109"/>
      <c r="M31" s="105"/>
      <c r="N31" s="106"/>
      <c r="O31" s="109"/>
      <c r="P31" s="105"/>
      <c r="Q31" s="106"/>
      <c r="R31" s="109"/>
      <c r="S31" s="62">
        <f t="shared" si="0"/>
        <v>0</v>
      </c>
      <c r="T31" s="62"/>
      <c r="U31" s="63"/>
      <c r="V31" s="61">
        <f t="shared" si="5"/>
        <v>0</v>
      </c>
      <c r="W31" s="62"/>
      <c r="X31" s="62"/>
      <c r="Y31" s="61" t="str">
        <f t="shared" si="1"/>
        <v/>
      </c>
      <c r="Z31" s="62"/>
      <c r="AA31" s="63"/>
      <c r="AB31" s="43" t="str">
        <f t="shared" si="2"/>
        <v/>
      </c>
      <c r="AC31" s="44"/>
      <c r="AD31" s="68"/>
      <c r="AE31" s="44" t="str">
        <f t="shared" si="3"/>
        <v/>
      </c>
      <c r="AF31" s="44"/>
      <c r="AG31" s="64"/>
      <c r="AH31" s="65" t="s">
        <v>23</v>
      </c>
      <c r="AI31" s="66"/>
      <c r="AJ31" s="66"/>
      <c r="AK31" s="67"/>
      <c r="AL31" s="16" t="s">
        <v>39</v>
      </c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20"/>
      <c r="AZ31" s="21"/>
    </row>
    <row r="32" spans="1:52" ht="24" customHeight="1" x14ac:dyDescent="0.15">
      <c r="A32" s="102">
        <f t="shared" si="6"/>
        <v>43181</v>
      </c>
      <c r="B32" s="103"/>
      <c r="C32" s="104" t="str">
        <f t="shared" si="4"/>
        <v>木</v>
      </c>
      <c r="D32" s="104"/>
      <c r="E32" s="105"/>
      <c r="F32" s="106"/>
      <c r="G32" s="106"/>
      <c r="H32" s="107"/>
      <c r="I32" s="108"/>
      <c r="J32" s="106"/>
      <c r="K32" s="106"/>
      <c r="L32" s="109"/>
      <c r="M32" s="105"/>
      <c r="N32" s="106"/>
      <c r="O32" s="109"/>
      <c r="P32" s="105"/>
      <c r="Q32" s="106"/>
      <c r="R32" s="109"/>
      <c r="S32" s="62">
        <f t="shared" si="0"/>
        <v>0</v>
      </c>
      <c r="T32" s="62"/>
      <c r="U32" s="63"/>
      <c r="V32" s="61">
        <f t="shared" si="5"/>
        <v>0</v>
      </c>
      <c r="W32" s="62"/>
      <c r="X32" s="62"/>
      <c r="Y32" s="61" t="str">
        <f t="shared" si="1"/>
        <v/>
      </c>
      <c r="Z32" s="62"/>
      <c r="AA32" s="63"/>
      <c r="AB32" s="43" t="str">
        <f t="shared" si="2"/>
        <v/>
      </c>
      <c r="AC32" s="44"/>
      <c r="AD32" s="68"/>
      <c r="AE32" s="44" t="str">
        <f t="shared" si="3"/>
        <v/>
      </c>
      <c r="AF32" s="44"/>
      <c r="AG32" s="64"/>
      <c r="AH32" s="65" t="s">
        <v>28</v>
      </c>
      <c r="AI32" s="66"/>
      <c r="AJ32" s="66"/>
      <c r="AK32" s="67"/>
      <c r="AL32" s="16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20"/>
      <c r="AZ32" s="21"/>
    </row>
    <row r="33" spans="1:52" ht="24" customHeight="1" x14ac:dyDescent="0.15">
      <c r="A33" s="102">
        <f t="shared" si="6"/>
        <v>43182</v>
      </c>
      <c r="B33" s="103"/>
      <c r="C33" s="104" t="str">
        <f t="shared" si="4"/>
        <v>金</v>
      </c>
      <c r="D33" s="104"/>
      <c r="E33" s="105">
        <v>0.375</v>
      </c>
      <c r="F33" s="106"/>
      <c r="G33" s="106"/>
      <c r="H33" s="107"/>
      <c r="I33" s="108">
        <v>0.75</v>
      </c>
      <c r="J33" s="106"/>
      <c r="K33" s="106"/>
      <c r="L33" s="109"/>
      <c r="M33" s="105">
        <v>4.1666666666666664E-2</v>
      </c>
      <c r="N33" s="106"/>
      <c r="O33" s="109"/>
      <c r="P33" s="105"/>
      <c r="Q33" s="106"/>
      <c r="R33" s="109"/>
      <c r="S33" s="62">
        <f t="shared" si="0"/>
        <v>0.375</v>
      </c>
      <c r="T33" s="62"/>
      <c r="U33" s="63"/>
      <c r="V33" s="61">
        <f t="shared" si="5"/>
        <v>0.33333333333333331</v>
      </c>
      <c r="W33" s="62"/>
      <c r="X33" s="62"/>
      <c r="Y33" s="61" t="str">
        <f t="shared" si="1"/>
        <v/>
      </c>
      <c r="Z33" s="62"/>
      <c r="AA33" s="63"/>
      <c r="AB33" s="43" t="str">
        <f t="shared" si="2"/>
        <v/>
      </c>
      <c r="AC33" s="44"/>
      <c r="AD33" s="68"/>
      <c r="AE33" s="44" t="str">
        <f t="shared" si="3"/>
        <v/>
      </c>
      <c r="AF33" s="44"/>
      <c r="AG33" s="64"/>
      <c r="AH33" s="65"/>
      <c r="AI33" s="66"/>
      <c r="AJ33" s="66"/>
      <c r="AK33" s="67"/>
      <c r="AL33" s="16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20"/>
      <c r="AZ33" s="21"/>
    </row>
    <row r="34" spans="1:52" ht="24" customHeight="1" x14ac:dyDescent="0.15">
      <c r="A34" s="102">
        <f t="shared" si="6"/>
        <v>43183</v>
      </c>
      <c r="B34" s="103"/>
      <c r="C34" s="104" t="str">
        <f t="shared" si="4"/>
        <v>土</v>
      </c>
      <c r="D34" s="104"/>
      <c r="E34" s="105">
        <v>0.875</v>
      </c>
      <c r="F34" s="106"/>
      <c r="G34" s="106"/>
      <c r="H34" s="107"/>
      <c r="I34" s="108">
        <v>1.375</v>
      </c>
      <c r="J34" s="106"/>
      <c r="K34" s="106"/>
      <c r="L34" s="109"/>
      <c r="M34" s="105">
        <v>4.1666666666666664E-2</v>
      </c>
      <c r="N34" s="106"/>
      <c r="O34" s="109"/>
      <c r="P34" s="105">
        <v>4.1666666666666664E-2</v>
      </c>
      <c r="Q34" s="106"/>
      <c r="R34" s="109"/>
      <c r="S34" s="62">
        <f t="shared" si="0"/>
        <v>0.5</v>
      </c>
      <c r="T34" s="62"/>
      <c r="U34" s="63"/>
      <c r="V34" s="61">
        <f t="shared" si="5"/>
        <v>0.41666666666666663</v>
      </c>
      <c r="W34" s="62"/>
      <c r="X34" s="62"/>
      <c r="Y34" s="61">
        <f t="shared" si="1"/>
        <v>8.3333333333333315E-2</v>
      </c>
      <c r="Z34" s="62"/>
      <c r="AA34" s="63"/>
      <c r="AB34" s="43">
        <f t="shared" si="2"/>
        <v>0.25</v>
      </c>
      <c r="AC34" s="44"/>
      <c r="AD34" s="68"/>
      <c r="AE34" s="44" t="str">
        <f t="shared" si="3"/>
        <v/>
      </c>
      <c r="AF34" s="44"/>
      <c r="AG34" s="64"/>
      <c r="AH34" s="65"/>
      <c r="AI34" s="66"/>
      <c r="AJ34" s="66"/>
      <c r="AK34" s="67"/>
      <c r="AL34" s="16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20"/>
      <c r="AZ34" s="21"/>
    </row>
    <row r="35" spans="1:52" ht="24" customHeight="1" x14ac:dyDescent="0.15">
      <c r="A35" s="102">
        <f t="shared" si="6"/>
        <v>43184</v>
      </c>
      <c r="B35" s="103"/>
      <c r="C35" s="104" t="str">
        <f t="shared" si="4"/>
        <v>日</v>
      </c>
      <c r="D35" s="104"/>
      <c r="E35" s="105"/>
      <c r="F35" s="106"/>
      <c r="G35" s="106"/>
      <c r="H35" s="107"/>
      <c r="I35" s="108"/>
      <c r="J35" s="106"/>
      <c r="K35" s="106"/>
      <c r="L35" s="109"/>
      <c r="M35" s="105"/>
      <c r="N35" s="106"/>
      <c r="O35" s="109"/>
      <c r="P35" s="105"/>
      <c r="Q35" s="106"/>
      <c r="R35" s="109"/>
      <c r="S35" s="62">
        <f t="shared" si="0"/>
        <v>0</v>
      </c>
      <c r="T35" s="62"/>
      <c r="U35" s="63"/>
      <c r="V35" s="61">
        <f t="shared" si="5"/>
        <v>0</v>
      </c>
      <c r="W35" s="62"/>
      <c r="X35" s="62"/>
      <c r="Y35" s="61" t="str">
        <f t="shared" si="1"/>
        <v/>
      </c>
      <c r="Z35" s="62"/>
      <c r="AA35" s="63"/>
      <c r="AB35" s="43" t="str">
        <f t="shared" si="2"/>
        <v/>
      </c>
      <c r="AC35" s="44"/>
      <c r="AD35" s="68"/>
      <c r="AE35" s="44" t="str">
        <f t="shared" si="3"/>
        <v/>
      </c>
      <c r="AF35" s="44"/>
      <c r="AG35" s="64"/>
      <c r="AH35" s="65"/>
      <c r="AI35" s="66"/>
      <c r="AJ35" s="66"/>
      <c r="AK35" s="67"/>
      <c r="AL35" s="16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20"/>
      <c r="AZ35" s="21"/>
    </row>
    <row r="36" spans="1:52" ht="24" customHeight="1" x14ac:dyDescent="0.15">
      <c r="A36" s="102">
        <f t="shared" si="6"/>
        <v>43185</v>
      </c>
      <c r="B36" s="103"/>
      <c r="C36" s="104" t="str">
        <f t="shared" si="4"/>
        <v>月</v>
      </c>
      <c r="D36" s="104"/>
      <c r="E36" s="105">
        <v>0.375</v>
      </c>
      <c r="F36" s="106"/>
      <c r="G36" s="106"/>
      <c r="H36" s="107"/>
      <c r="I36" s="108">
        <v>0.75</v>
      </c>
      <c r="J36" s="106"/>
      <c r="K36" s="106"/>
      <c r="L36" s="109"/>
      <c r="M36" s="105">
        <v>4.1666666666666664E-2</v>
      </c>
      <c r="N36" s="106"/>
      <c r="O36" s="109"/>
      <c r="P36" s="105"/>
      <c r="Q36" s="106"/>
      <c r="R36" s="109"/>
      <c r="S36" s="62">
        <f t="shared" si="0"/>
        <v>0.375</v>
      </c>
      <c r="T36" s="62"/>
      <c r="U36" s="63"/>
      <c r="V36" s="61">
        <f t="shared" si="5"/>
        <v>0.33333333333333331</v>
      </c>
      <c r="W36" s="62"/>
      <c r="X36" s="62"/>
      <c r="Y36" s="61" t="str">
        <f t="shared" si="1"/>
        <v/>
      </c>
      <c r="Z36" s="62"/>
      <c r="AA36" s="63"/>
      <c r="AB36" s="43" t="str">
        <f t="shared" si="2"/>
        <v/>
      </c>
      <c r="AC36" s="44"/>
      <c r="AD36" s="68"/>
      <c r="AE36" s="44" t="str">
        <f t="shared" si="3"/>
        <v/>
      </c>
      <c r="AF36" s="44"/>
      <c r="AG36" s="64"/>
      <c r="AH36" s="65"/>
      <c r="AI36" s="66"/>
      <c r="AJ36" s="66"/>
      <c r="AK36" s="67"/>
      <c r="AL36" s="16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20"/>
      <c r="AZ36" s="21"/>
    </row>
    <row r="37" spans="1:52" ht="24" customHeight="1" x14ac:dyDescent="0.15">
      <c r="A37" s="102">
        <f t="shared" si="6"/>
        <v>43186</v>
      </c>
      <c r="B37" s="103"/>
      <c r="C37" s="104" t="str">
        <f t="shared" si="4"/>
        <v>火</v>
      </c>
      <c r="D37" s="104"/>
      <c r="E37" s="105">
        <v>0.375</v>
      </c>
      <c r="F37" s="106"/>
      <c r="G37" s="106"/>
      <c r="H37" s="107"/>
      <c r="I37" s="108">
        <v>0.75</v>
      </c>
      <c r="J37" s="106"/>
      <c r="K37" s="106"/>
      <c r="L37" s="109"/>
      <c r="M37" s="105">
        <v>4.1666666666666664E-2</v>
      </c>
      <c r="N37" s="106"/>
      <c r="O37" s="109"/>
      <c r="P37" s="105"/>
      <c r="Q37" s="106"/>
      <c r="R37" s="109"/>
      <c r="S37" s="62">
        <f t="shared" si="0"/>
        <v>0.375</v>
      </c>
      <c r="T37" s="62"/>
      <c r="U37" s="63"/>
      <c r="V37" s="61">
        <f t="shared" si="5"/>
        <v>0.33333333333333331</v>
      </c>
      <c r="W37" s="62"/>
      <c r="X37" s="62"/>
      <c r="Y37" s="61" t="str">
        <f t="shared" si="1"/>
        <v/>
      </c>
      <c r="Z37" s="62"/>
      <c r="AA37" s="63"/>
      <c r="AB37" s="43" t="str">
        <f t="shared" si="2"/>
        <v/>
      </c>
      <c r="AC37" s="44"/>
      <c r="AD37" s="68"/>
      <c r="AE37" s="44" t="str">
        <f t="shared" si="3"/>
        <v/>
      </c>
      <c r="AF37" s="44"/>
      <c r="AG37" s="64"/>
      <c r="AH37" s="65" t="s">
        <v>31</v>
      </c>
      <c r="AI37" s="66"/>
      <c r="AJ37" s="66"/>
      <c r="AK37" s="67"/>
      <c r="AL37" s="16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20"/>
      <c r="AZ37" s="21"/>
    </row>
    <row r="38" spans="1:52" ht="24" customHeight="1" x14ac:dyDescent="0.15">
      <c r="A38" s="102">
        <f t="shared" si="6"/>
        <v>43187</v>
      </c>
      <c r="B38" s="103"/>
      <c r="C38" s="104" t="str">
        <f t="shared" si="4"/>
        <v>水</v>
      </c>
      <c r="D38" s="104"/>
      <c r="E38" s="105">
        <v>0.54166666666666663</v>
      </c>
      <c r="F38" s="106"/>
      <c r="G38" s="106"/>
      <c r="H38" s="107"/>
      <c r="I38" s="108">
        <v>0.66666666666666663</v>
      </c>
      <c r="J38" s="106"/>
      <c r="K38" s="106"/>
      <c r="L38" s="109"/>
      <c r="M38" s="105"/>
      <c r="N38" s="106"/>
      <c r="O38" s="109"/>
      <c r="P38" s="105"/>
      <c r="Q38" s="106"/>
      <c r="R38" s="109"/>
      <c r="S38" s="62">
        <f t="shared" si="0"/>
        <v>0.125</v>
      </c>
      <c r="T38" s="62"/>
      <c r="U38" s="63"/>
      <c r="V38" s="61">
        <f t="shared" si="5"/>
        <v>0.125</v>
      </c>
      <c r="W38" s="62"/>
      <c r="X38" s="62"/>
      <c r="Y38" s="61" t="str">
        <f t="shared" si="1"/>
        <v/>
      </c>
      <c r="Z38" s="62"/>
      <c r="AA38" s="63"/>
      <c r="AB38" s="43" t="str">
        <f t="shared" si="2"/>
        <v/>
      </c>
      <c r="AC38" s="44"/>
      <c r="AD38" s="68"/>
      <c r="AE38" s="44" t="str">
        <f t="shared" si="3"/>
        <v/>
      </c>
      <c r="AF38" s="44"/>
      <c r="AG38" s="64"/>
      <c r="AH38" s="65" t="s">
        <v>51</v>
      </c>
      <c r="AI38" s="66"/>
      <c r="AJ38" s="66"/>
      <c r="AK38" s="67"/>
      <c r="AL38" s="16" t="s">
        <v>52</v>
      </c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20"/>
      <c r="AZ38" s="21"/>
    </row>
    <row r="39" spans="1:52" ht="24" customHeight="1" x14ac:dyDescent="0.15">
      <c r="A39" s="102">
        <f t="shared" si="6"/>
        <v>43188</v>
      </c>
      <c r="B39" s="103"/>
      <c r="C39" s="104" t="str">
        <f t="shared" si="4"/>
        <v>木</v>
      </c>
      <c r="D39" s="104"/>
      <c r="E39" s="105">
        <v>0.375</v>
      </c>
      <c r="F39" s="106"/>
      <c r="G39" s="106"/>
      <c r="H39" s="107"/>
      <c r="I39" s="108">
        <v>0.75</v>
      </c>
      <c r="J39" s="106"/>
      <c r="K39" s="106"/>
      <c r="L39" s="109"/>
      <c r="M39" s="105">
        <v>4.1666666666666664E-2</v>
      </c>
      <c r="N39" s="106"/>
      <c r="O39" s="109"/>
      <c r="P39" s="105"/>
      <c r="Q39" s="106"/>
      <c r="R39" s="109"/>
      <c r="S39" s="62">
        <f t="shared" si="0"/>
        <v>0.375</v>
      </c>
      <c r="T39" s="62"/>
      <c r="U39" s="63"/>
      <c r="V39" s="61">
        <f t="shared" si="5"/>
        <v>0.33333333333333331</v>
      </c>
      <c r="W39" s="62"/>
      <c r="X39" s="62"/>
      <c r="Y39" s="61" t="str">
        <f t="shared" si="1"/>
        <v/>
      </c>
      <c r="Z39" s="62"/>
      <c r="AA39" s="63"/>
      <c r="AB39" s="43" t="str">
        <f t="shared" si="2"/>
        <v/>
      </c>
      <c r="AC39" s="44"/>
      <c r="AD39" s="68"/>
      <c r="AE39" s="44" t="str">
        <f t="shared" si="3"/>
        <v/>
      </c>
      <c r="AF39" s="44"/>
      <c r="AG39" s="64"/>
      <c r="AH39" s="65"/>
      <c r="AI39" s="66"/>
      <c r="AJ39" s="66"/>
      <c r="AK39" s="67"/>
      <c r="AL39" s="16" t="s">
        <v>27</v>
      </c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20"/>
      <c r="AZ39" s="21"/>
    </row>
    <row r="40" spans="1:52" ht="24" customHeight="1" x14ac:dyDescent="0.15">
      <c r="A40" s="102">
        <f t="shared" si="6"/>
        <v>43189</v>
      </c>
      <c r="B40" s="103"/>
      <c r="C40" s="104" t="str">
        <f t="shared" si="4"/>
        <v>金</v>
      </c>
      <c r="D40" s="104"/>
      <c r="E40" s="105">
        <v>0.375</v>
      </c>
      <c r="F40" s="106"/>
      <c r="G40" s="106"/>
      <c r="H40" s="107"/>
      <c r="I40" s="108">
        <v>0.75</v>
      </c>
      <c r="J40" s="106"/>
      <c r="K40" s="106"/>
      <c r="L40" s="109"/>
      <c r="M40" s="105">
        <v>4.1666666666666664E-2</v>
      </c>
      <c r="N40" s="106"/>
      <c r="O40" s="109"/>
      <c r="P40" s="105"/>
      <c r="Q40" s="106"/>
      <c r="R40" s="109"/>
      <c r="S40" s="62">
        <f t="shared" si="0"/>
        <v>0.375</v>
      </c>
      <c r="T40" s="62"/>
      <c r="U40" s="63"/>
      <c r="V40" s="61">
        <f t="shared" si="5"/>
        <v>0.33333333333333331</v>
      </c>
      <c r="W40" s="62"/>
      <c r="X40" s="62"/>
      <c r="Y40" s="61" t="str">
        <f t="shared" si="1"/>
        <v/>
      </c>
      <c r="Z40" s="62"/>
      <c r="AA40" s="63"/>
      <c r="AB40" s="43" t="str">
        <f t="shared" si="2"/>
        <v/>
      </c>
      <c r="AC40" s="44"/>
      <c r="AD40" s="68"/>
      <c r="AE40" s="44" t="str">
        <f t="shared" si="3"/>
        <v/>
      </c>
      <c r="AF40" s="44"/>
      <c r="AG40" s="64"/>
      <c r="AH40" s="65"/>
      <c r="AI40" s="66"/>
      <c r="AJ40" s="66"/>
      <c r="AK40" s="67"/>
      <c r="AL40" s="16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20"/>
      <c r="AZ40" s="21"/>
    </row>
    <row r="41" spans="1:52" ht="24" customHeight="1" thickBot="1" x14ac:dyDescent="0.2">
      <c r="A41" s="102">
        <f t="shared" si="6"/>
        <v>43190</v>
      </c>
      <c r="B41" s="103"/>
      <c r="C41" s="144" t="str">
        <f t="shared" si="4"/>
        <v>土</v>
      </c>
      <c r="D41" s="145"/>
      <c r="E41" s="105"/>
      <c r="F41" s="106"/>
      <c r="G41" s="106"/>
      <c r="H41" s="107"/>
      <c r="I41" s="139"/>
      <c r="J41" s="137"/>
      <c r="K41" s="137"/>
      <c r="L41" s="138"/>
      <c r="M41" s="136"/>
      <c r="N41" s="137"/>
      <c r="O41" s="138"/>
      <c r="P41" s="136"/>
      <c r="Q41" s="137"/>
      <c r="R41" s="138"/>
      <c r="S41" s="62">
        <f t="shared" si="0"/>
        <v>0</v>
      </c>
      <c r="T41" s="62"/>
      <c r="U41" s="63"/>
      <c r="V41" s="140">
        <f t="shared" si="5"/>
        <v>0</v>
      </c>
      <c r="W41" s="141"/>
      <c r="X41" s="141"/>
      <c r="Y41" s="61" t="str">
        <f t="shared" si="1"/>
        <v/>
      </c>
      <c r="Z41" s="62"/>
      <c r="AA41" s="63"/>
      <c r="AB41" s="43" t="str">
        <f t="shared" si="2"/>
        <v/>
      </c>
      <c r="AC41" s="44"/>
      <c r="AD41" s="68"/>
      <c r="AE41" s="44" t="str">
        <f t="shared" si="3"/>
        <v/>
      </c>
      <c r="AF41" s="44"/>
      <c r="AG41" s="64"/>
      <c r="AH41" s="65"/>
      <c r="AI41" s="66"/>
      <c r="AJ41" s="66"/>
      <c r="AK41" s="67"/>
      <c r="AL41" s="18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42"/>
      <c r="AZ41" s="143"/>
    </row>
    <row r="42" spans="1:52" ht="27" customHeight="1" thickBot="1" x14ac:dyDescent="0.2">
      <c r="A42" s="126" t="s">
        <v>9</v>
      </c>
      <c r="B42" s="127"/>
      <c r="C42" s="127"/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2">
        <f>SUM(S11:U41)</f>
        <v>8.8958333333333339</v>
      </c>
      <c r="T42" s="123"/>
      <c r="U42" s="124"/>
      <c r="V42" s="122">
        <f>IF(SUM(V11:V41)=0,"",SUM(V11:V41))</f>
        <v>7.9583333333333321</v>
      </c>
      <c r="W42" s="123"/>
      <c r="X42" s="123"/>
      <c r="Y42" s="122">
        <f>IF(SUM(Y11:Y41)=0,"",SUM(Y11:Y41))</f>
        <v>1.8333333333333335</v>
      </c>
      <c r="Z42" s="123"/>
      <c r="AA42" s="124"/>
      <c r="AB42" s="122">
        <f>IF(SUM(AB11:AB41)=0,"",SUM(AB11:AB41))</f>
        <v>1.15625</v>
      </c>
      <c r="AC42" s="123"/>
      <c r="AD42" s="124"/>
      <c r="AE42" s="123">
        <f>IF(SUM(AE11:AE41)=0,"",SUM(AE11:AE41))</f>
        <v>0.25000000000000006</v>
      </c>
      <c r="AF42" s="123"/>
      <c r="AG42" s="125"/>
      <c r="AH42" s="128"/>
      <c r="AI42" s="129"/>
      <c r="AJ42" s="129"/>
      <c r="AK42" s="130"/>
      <c r="AL42" s="131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3"/>
    </row>
    <row r="43" spans="1:52" ht="27" customHeight="1" thickBot="1" x14ac:dyDescent="0.2">
      <c r="A43" s="126" t="s">
        <v>40</v>
      </c>
      <c r="B43" s="127"/>
      <c r="C43" s="127"/>
      <c r="D43" s="127"/>
      <c r="E43" s="127"/>
      <c r="F43" s="127"/>
      <c r="G43" s="127"/>
      <c r="H43" s="127"/>
      <c r="I43" s="127"/>
      <c r="J43" s="127"/>
      <c r="K43" s="127"/>
      <c r="L43" s="127"/>
      <c r="M43" s="127"/>
      <c r="N43" s="127"/>
      <c r="O43" s="127"/>
      <c r="P43" s="127"/>
      <c r="Q43" s="127"/>
      <c r="R43" s="127"/>
      <c r="S43" s="134">
        <v>7.958333333333333</v>
      </c>
      <c r="T43" s="135"/>
      <c r="U43" s="135"/>
      <c r="V43" s="135"/>
      <c r="W43" s="135"/>
      <c r="X43" s="135"/>
      <c r="Y43" s="122" t="s">
        <v>42</v>
      </c>
      <c r="Z43" s="123"/>
      <c r="AA43" s="123"/>
      <c r="AB43" s="123"/>
      <c r="AC43" s="123"/>
      <c r="AD43" s="123"/>
      <c r="AE43" s="123"/>
      <c r="AF43" s="123"/>
      <c r="AG43" s="125"/>
      <c r="AH43" s="128" t="str">
        <f>TEXT(ABS(V42-S43),IF(S43&gt;V42,"-[h]:mm","[h]:mm"))</f>
        <v>0:00</v>
      </c>
      <c r="AI43" s="129"/>
      <c r="AJ43" s="129"/>
      <c r="AK43" s="130"/>
      <c r="AL43" s="131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3"/>
    </row>
  </sheetData>
  <sheetProtection algorithmName="SHA-512" hashValue="87cFHL7u1x9Sp4KH7cLwBwIp8GnJJn0RlyC2F9cWv1FxZUpj3Yjh/Ch4LnVxJLYmfkC8O9oKiKplYTAIHvst+Q==" saltValue="C2XdJavUdExj9VTOl9F7bg==" spinCount="100000" sheet="1" selectLockedCells="1"/>
  <mergeCells count="485">
    <mergeCell ref="A38:B38"/>
    <mergeCell ref="C40:D40"/>
    <mergeCell ref="E40:H40"/>
    <mergeCell ref="I40:L40"/>
    <mergeCell ref="P40:R40"/>
    <mergeCell ref="AH40:AK40"/>
    <mergeCell ref="AH41:AK41"/>
    <mergeCell ref="A42:R42"/>
    <mergeCell ref="A41:B41"/>
    <mergeCell ref="C41:D41"/>
    <mergeCell ref="A40:B40"/>
    <mergeCell ref="AB40:AD40"/>
    <mergeCell ref="V38:X38"/>
    <mergeCell ref="V39:X39"/>
    <mergeCell ref="C38:D38"/>
    <mergeCell ref="E38:H38"/>
    <mergeCell ref="I38:L38"/>
    <mergeCell ref="P38:R38"/>
    <mergeCell ref="S38:U38"/>
    <mergeCell ref="A39:B39"/>
    <mergeCell ref="C39:D39"/>
    <mergeCell ref="E39:H39"/>
    <mergeCell ref="I39:L39"/>
    <mergeCell ref="A43:R43"/>
    <mergeCell ref="AH43:AK43"/>
    <mergeCell ref="AL43:AZ43"/>
    <mergeCell ref="S43:X43"/>
    <mergeCell ref="Y43:AG43"/>
    <mergeCell ref="M40:O40"/>
    <mergeCell ref="M41:O41"/>
    <mergeCell ref="V42:X42"/>
    <mergeCell ref="S42:U42"/>
    <mergeCell ref="Y40:AA40"/>
    <mergeCell ref="Y41:AA41"/>
    <mergeCell ref="Y42:AA42"/>
    <mergeCell ref="E41:H41"/>
    <mergeCell ref="I41:L41"/>
    <mergeCell ref="P41:R41"/>
    <mergeCell ref="S41:U41"/>
    <mergeCell ref="S40:U40"/>
    <mergeCell ref="AL42:AZ42"/>
    <mergeCell ref="V41:X41"/>
    <mergeCell ref="V40:X40"/>
    <mergeCell ref="AH42:AK42"/>
    <mergeCell ref="AY41:AZ41"/>
    <mergeCell ref="A30:B30"/>
    <mergeCell ref="C30:D30"/>
    <mergeCell ref="E30:H30"/>
    <mergeCell ref="I30:L30"/>
    <mergeCell ref="P30:R30"/>
    <mergeCell ref="S30:U30"/>
    <mergeCell ref="V30:X30"/>
    <mergeCell ref="A26:B26"/>
    <mergeCell ref="C26:D26"/>
    <mergeCell ref="A29:B29"/>
    <mergeCell ref="C29:D29"/>
    <mergeCell ref="E29:H29"/>
    <mergeCell ref="I29:L29"/>
    <mergeCell ref="A28:B28"/>
    <mergeCell ref="C28:D28"/>
    <mergeCell ref="E28:H28"/>
    <mergeCell ref="I28:L28"/>
    <mergeCell ref="A27:B27"/>
    <mergeCell ref="C27:D27"/>
    <mergeCell ref="E27:H27"/>
    <mergeCell ref="I27:L27"/>
    <mergeCell ref="P29:R29"/>
    <mergeCell ref="S29:U29"/>
    <mergeCell ref="V29:X29"/>
    <mergeCell ref="AH37:AK37"/>
    <mergeCell ref="AH38:AK38"/>
    <mergeCell ref="AH39:AK39"/>
    <mergeCell ref="AE37:AG37"/>
    <mergeCell ref="AE38:AG38"/>
    <mergeCell ref="AE39:AG39"/>
    <mergeCell ref="Y37:AA37"/>
    <mergeCell ref="Y38:AA38"/>
    <mergeCell ref="Y39:AA39"/>
    <mergeCell ref="V37:X37"/>
    <mergeCell ref="AB41:AD41"/>
    <mergeCell ref="AB42:AD42"/>
    <mergeCell ref="AE40:AG40"/>
    <mergeCell ref="AE41:AG41"/>
    <mergeCell ref="AE42:AG42"/>
    <mergeCell ref="M37:O37"/>
    <mergeCell ref="M38:O38"/>
    <mergeCell ref="M39:O39"/>
    <mergeCell ref="AB37:AD37"/>
    <mergeCell ref="AB38:AD38"/>
    <mergeCell ref="AB39:AD39"/>
    <mergeCell ref="P39:R39"/>
    <mergeCell ref="S39:U39"/>
    <mergeCell ref="E37:H37"/>
    <mergeCell ref="I37:L37"/>
    <mergeCell ref="P37:R37"/>
    <mergeCell ref="S37:U37"/>
    <mergeCell ref="AH34:AK34"/>
    <mergeCell ref="Y34:AA34"/>
    <mergeCell ref="AE34:AG34"/>
    <mergeCell ref="M34:O34"/>
    <mergeCell ref="A37:B37"/>
    <mergeCell ref="C37:D37"/>
    <mergeCell ref="V35:X35"/>
    <mergeCell ref="A36:B36"/>
    <mergeCell ref="C36:D36"/>
    <mergeCell ref="E36:H36"/>
    <mergeCell ref="I36:L36"/>
    <mergeCell ref="P36:R36"/>
    <mergeCell ref="S36:U36"/>
    <mergeCell ref="V36:X36"/>
    <mergeCell ref="A35:B35"/>
    <mergeCell ref="C35:D35"/>
    <mergeCell ref="E35:H35"/>
    <mergeCell ref="I35:L35"/>
    <mergeCell ref="P35:R35"/>
    <mergeCell ref="S35:U35"/>
    <mergeCell ref="AH35:AK35"/>
    <mergeCell ref="AH36:AK36"/>
    <mergeCell ref="Y35:AA35"/>
    <mergeCell ref="Y36:AA36"/>
    <mergeCell ref="AB36:AD36"/>
    <mergeCell ref="AB34:AD34"/>
    <mergeCell ref="AB35:AD35"/>
    <mergeCell ref="AE35:AG35"/>
    <mergeCell ref="AE36:AG36"/>
    <mergeCell ref="A33:B33"/>
    <mergeCell ref="C33:D33"/>
    <mergeCell ref="E33:H33"/>
    <mergeCell ref="I33:L33"/>
    <mergeCell ref="P33:R33"/>
    <mergeCell ref="S33:U33"/>
    <mergeCell ref="V33:X33"/>
    <mergeCell ref="A34:B34"/>
    <mergeCell ref="C34:D34"/>
    <mergeCell ref="E34:H34"/>
    <mergeCell ref="I34:L34"/>
    <mergeCell ref="P34:R34"/>
    <mergeCell ref="S34:U34"/>
    <mergeCell ref="V34:X34"/>
    <mergeCell ref="M35:O35"/>
    <mergeCell ref="M36:O36"/>
    <mergeCell ref="A31:B31"/>
    <mergeCell ref="C31:D31"/>
    <mergeCell ref="E31:H31"/>
    <mergeCell ref="I31:L31"/>
    <mergeCell ref="P31:R31"/>
    <mergeCell ref="S31:U31"/>
    <mergeCell ref="AH31:AK31"/>
    <mergeCell ref="AH32:AK32"/>
    <mergeCell ref="Y31:AA31"/>
    <mergeCell ref="AH33:AK33"/>
    <mergeCell ref="Y33:AA33"/>
    <mergeCell ref="AE33:AG33"/>
    <mergeCell ref="M33:O33"/>
    <mergeCell ref="AB33:AD33"/>
    <mergeCell ref="A32:B32"/>
    <mergeCell ref="C32:D32"/>
    <mergeCell ref="E32:H32"/>
    <mergeCell ref="I32:L32"/>
    <mergeCell ref="P32:R32"/>
    <mergeCell ref="S32:U32"/>
    <mergeCell ref="V32:X32"/>
    <mergeCell ref="AE31:AG31"/>
    <mergeCell ref="AE32:AG32"/>
    <mergeCell ref="AH29:AK29"/>
    <mergeCell ref="Y29:AA29"/>
    <mergeCell ref="M29:O29"/>
    <mergeCell ref="M30:O30"/>
    <mergeCell ref="AB29:AD29"/>
    <mergeCell ref="AB30:AD30"/>
    <mergeCell ref="AE29:AG29"/>
    <mergeCell ref="AE30:AG30"/>
    <mergeCell ref="Y32:AA32"/>
    <mergeCell ref="M31:O31"/>
    <mergeCell ref="M32:O32"/>
    <mergeCell ref="V31:X31"/>
    <mergeCell ref="AB31:AD31"/>
    <mergeCell ref="AB32:AD32"/>
    <mergeCell ref="AH30:AK30"/>
    <mergeCell ref="Y30:AA30"/>
    <mergeCell ref="AH27:AK27"/>
    <mergeCell ref="AH28:AK28"/>
    <mergeCell ref="Y27:AA27"/>
    <mergeCell ref="Y28:AA28"/>
    <mergeCell ref="M27:O27"/>
    <mergeCell ref="M28:O28"/>
    <mergeCell ref="V27:X27"/>
    <mergeCell ref="AB27:AD27"/>
    <mergeCell ref="AB28:AD28"/>
    <mergeCell ref="P28:R28"/>
    <mergeCell ref="S28:U28"/>
    <mergeCell ref="V28:X28"/>
    <mergeCell ref="P27:R27"/>
    <mergeCell ref="S27:U27"/>
    <mergeCell ref="AH25:AK25"/>
    <mergeCell ref="Y25:AA25"/>
    <mergeCell ref="AB25:AD25"/>
    <mergeCell ref="M25:O25"/>
    <mergeCell ref="AE25:AG25"/>
    <mergeCell ref="AE26:AG26"/>
    <mergeCell ref="E26:H26"/>
    <mergeCell ref="I26:L26"/>
    <mergeCell ref="P26:R26"/>
    <mergeCell ref="S26:U26"/>
    <mergeCell ref="V26:X26"/>
    <mergeCell ref="Y26:AA26"/>
    <mergeCell ref="AB26:AD26"/>
    <mergeCell ref="M26:O26"/>
    <mergeCell ref="A25:B25"/>
    <mergeCell ref="C25:D25"/>
    <mergeCell ref="E25:H25"/>
    <mergeCell ref="I25:L25"/>
    <mergeCell ref="P25:R25"/>
    <mergeCell ref="S25:U25"/>
    <mergeCell ref="V25:X25"/>
    <mergeCell ref="M19:O19"/>
    <mergeCell ref="M20:O20"/>
    <mergeCell ref="V19:X19"/>
    <mergeCell ref="A22:B22"/>
    <mergeCell ref="A21:B21"/>
    <mergeCell ref="C21:D21"/>
    <mergeCell ref="E21:H21"/>
    <mergeCell ref="I21:L21"/>
    <mergeCell ref="P21:R21"/>
    <mergeCell ref="S21:U21"/>
    <mergeCell ref="V21:X21"/>
    <mergeCell ref="A19:B19"/>
    <mergeCell ref="C19:D19"/>
    <mergeCell ref="E19:H19"/>
    <mergeCell ref="I19:L19"/>
    <mergeCell ref="AE19:AG19"/>
    <mergeCell ref="AE20:AG20"/>
    <mergeCell ref="P19:R19"/>
    <mergeCell ref="S19:U19"/>
    <mergeCell ref="A24:B24"/>
    <mergeCell ref="C24:D24"/>
    <mergeCell ref="E24:H24"/>
    <mergeCell ref="I24:L24"/>
    <mergeCell ref="P24:R24"/>
    <mergeCell ref="S24:U24"/>
    <mergeCell ref="V24:X24"/>
    <mergeCell ref="A23:B23"/>
    <mergeCell ref="C23:D23"/>
    <mergeCell ref="E23:H23"/>
    <mergeCell ref="I23:L23"/>
    <mergeCell ref="P23:R23"/>
    <mergeCell ref="S23:U23"/>
    <mergeCell ref="V23:X23"/>
    <mergeCell ref="Y23:AA23"/>
    <mergeCell ref="Y24:AA24"/>
    <mergeCell ref="M23:O23"/>
    <mergeCell ref="M24:O24"/>
    <mergeCell ref="M22:O22"/>
    <mergeCell ref="AB22:AD22"/>
    <mergeCell ref="AE22:AG22"/>
    <mergeCell ref="AL21:AX21"/>
    <mergeCell ref="AL22:AX22"/>
    <mergeCell ref="A20:B20"/>
    <mergeCell ref="C20:D20"/>
    <mergeCell ref="E20:H20"/>
    <mergeCell ref="I20:L20"/>
    <mergeCell ref="P20:R20"/>
    <mergeCell ref="S20:U20"/>
    <mergeCell ref="V20:X20"/>
    <mergeCell ref="AH21:AK21"/>
    <mergeCell ref="Y21:AA21"/>
    <mergeCell ref="M21:O21"/>
    <mergeCell ref="AE21:AG21"/>
    <mergeCell ref="Y20:AA20"/>
    <mergeCell ref="C22:D22"/>
    <mergeCell ref="E22:H22"/>
    <mergeCell ref="I22:L22"/>
    <mergeCell ref="P22:R22"/>
    <mergeCell ref="S22:U22"/>
    <mergeCell ref="V22:X22"/>
    <mergeCell ref="AH18:AK18"/>
    <mergeCell ref="Y18:AA18"/>
    <mergeCell ref="M18:O18"/>
    <mergeCell ref="AE18:AG18"/>
    <mergeCell ref="A17:B17"/>
    <mergeCell ref="C17:D17"/>
    <mergeCell ref="E17:H17"/>
    <mergeCell ref="I17:L17"/>
    <mergeCell ref="P17:R17"/>
    <mergeCell ref="S17:U17"/>
    <mergeCell ref="V17:X17"/>
    <mergeCell ref="AH17:AK17"/>
    <mergeCell ref="Y17:AA17"/>
    <mergeCell ref="M17:O17"/>
    <mergeCell ref="AE17:AG17"/>
    <mergeCell ref="A18:B18"/>
    <mergeCell ref="C18:D18"/>
    <mergeCell ref="E18:H18"/>
    <mergeCell ref="I18:L18"/>
    <mergeCell ref="P18:R18"/>
    <mergeCell ref="S18:U18"/>
    <mergeCell ref="V18:X18"/>
    <mergeCell ref="I16:L16"/>
    <mergeCell ref="P16:R16"/>
    <mergeCell ref="S16:U16"/>
    <mergeCell ref="V16:X16"/>
    <mergeCell ref="A15:B15"/>
    <mergeCell ref="C15:D15"/>
    <mergeCell ref="E15:H15"/>
    <mergeCell ref="I15:L15"/>
    <mergeCell ref="P15:R15"/>
    <mergeCell ref="S15:U15"/>
    <mergeCell ref="M15:O15"/>
    <mergeCell ref="M16:O16"/>
    <mergeCell ref="V15:X15"/>
    <mergeCell ref="A16:B16"/>
    <mergeCell ref="C16:D16"/>
    <mergeCell ref="E16:H16"/>
    <mergeCell ref="M14:O14"/>
    <mergeCell ref="AB13:AD13"/>
    <mergeCell ref="AB14:AD14"/>
    <mergeCell ref="Y13:AA13"/>
    <mergeCell ref="Y14:AA14"/>
    <mergeCell ref="AE13:AG13"/>
    <mergeCell ref="AE14:AG14"/>
    <mergeCell ref="A14:B14"/>
    <mergeCell ref="C14:D14"/>
    <mergeCell ref="E14:H14"/>
    <mergeCell ref="I14:L14"/>
    <mergeCell ref="P14:R14"/>
    <mergeCell ref="S14:U14"/>
    <mergeCell ref="V14:X14"/>
    <mergeCell ref="A13:B13"/>
    <mergeCell ref="C13:D13"/>
    <mergeCell ref="E13:H13"/>
    <mergeCell ref="I13:L13"/>
    <mergeCell ref="P13:R13"/>
    <mergeCell ref="S13:U13"/>
    <mergeCell ref="V13:X13"/>
    <mergeCell ref="M13:O13"/>
    <mergeCell ref="AY8:AZ10"/>
    <mergeCell ref="AB12:AD12"/>
    <mergeCell ref="AH11:AK11"/>
    <mergeCell ref="AH12:AK12"/>
    <mergeCell ref="Y11:AA11"/>
    <mergeCell ref="Y12:AA12"/>
    <mergeCell ref="A12:B12"/>
    <mergeCell ref="C12:D12"/>
    <mergeCell ref="E12:H12"/>
    <mergeCell ref="I12:L12"/>
    <mergeCell ref="P12:R12"/>
    <mergeCell ref="S12:U12"/>
    <mergeCell ref="V12:X12"/>
    <mergeCell ref="A8:D8"/>
    <mergeCell ref="V8:X10"/>
    <mergeCell ref="A9:B10"/>
    <mergeCell ref="C9:D10"/>
    <mergeCell ref="M12:O12"/>
    <mergeCell ref="E10:H10"/>
    <mergeCell ref="I10:L10"/>
    <mergeCell ref="M8:R8"/>
    <mergeCell ref="M10:O10"/>
    <mergeCell ref="G5:X5"/>
    <mergeCell ref="G6:X6"/>
    <mergeCell ref="AE8:AG10"/>
    <mergeCell ref="P9:R9"/>
    <mergeCell ref="P10:R10"/>
    <mergeCell ref="A6:F6"/>
    <mergeCell ref="Y8:AA10"/>
    <mergeCell ref="S8:U10"/>
    <mergeCell ref="M9:O9"/>
    <mergeCell ref="AH14:AK14"/>
    <mergeCell ref="AH15:AK15"/>
    <mergeCell ref="AH16:AK16"/>
    <mergeCell ref="AB15:AD15"/>
    <mergeCell ref="AE11:AG11"/>
    <mergeCell ref="AE12:AG12"/>
    <mergeCell ref="AL5:AP5"/>
    <mergeCell ref="AQ5:AW5"/>
    <mergeCell ref="AX5:AZ5"/>
    <mergeCell ref="AX6:AZ6"/>
    <mergeCell ref="AB8:AD10"/>
    <mergeCell ref="AH8:AK10"/>
    <mergeCell ref="AH13:AK13"/>
    <mergeCell ref="AL12:AX12"/>
    <mergeCell ref="AL13:AX13"/>
    <mergeCell ref="AL14:AX14"/>
    <mergeCell ref="AL15:AX15"/>
    <mergeCell ref="AL16:AX16"/>
    <mergeCell ref="AY12:AZ12"/>
    <mergeCell ref="AY13:AZ13"/>
    <mergeCell ref="AY14:AZ14"/>
    <mergeCell ref="AY15:AZ15"/>
    <mergeCell ref="AY16:AZ16"/>
    <mergeCell ref="AL8:AX10"/>
    <mergeCell ref="Y15:AA15"/>
    <mergeCell ref="Y16:AA16"/>
    <mergeCell ref="AE15:AG15"/>
    <mergeCell ref="AE16:AG16"/>
    <mergeCell ref="AH19:AK19"/>
    <mergeCell ref="AH20:AK20"/>
    <mergeCell ref="Y19:AA19"/>
    <mergeCell ref="AE27:AG27"/>
    <mergeCell ref="AE28:AG28"/>
    <mergeCell ref="AB16:AD16"/>
    <mergeCell ref="AB17:AD17"/>
    <mergeCell ref="AB18:AD18"/>
    <mergeCell ref="AB19:AD19"/>
    <mergeCell ref="AB20:AD20"/>
    <mergeCell ref="AB21:AD21"/>
    <mergeCell ref="AH22:AK22"/>
    <mergeCell ref="Y22:AA22"/>
    <mergeCell ref="AH23:AK23"/>
    <mergeCell ref="AH24:AK24"/>
    <mergeCell ref="AB23:AD23"/>
    <mergeCell ref="AE23:AG23"/>
    <mergeCell ref="AE24:AG24"/>
    <mergeCell ref="AB24:AD24"/>
    <mergeCell ref="AH26:AK26"/>
    <mergeCell ref="A2:I2"/>
    <mergeCell ref="AL2:AP2"/>
    <mergeCell ref="AQ2:AU2"/>
    <mergeCell ref="AL6:AP6"/>
    <mergeCell ref="AQ6:AW6"/>
    <mergeCell ref="A5:F5"/>
    <mergeCell ref="A11:B11"/>
    <mergeCell ref="C11:D11"/>
    <mergeCell ref="E11:H11"/>
    <mergeCell ref="I11:L11"/>
    <mergeCell ref="P11:R11"/>
    <mergeCell ref="S11:U11"/>
    <mergeCell ref="V11:X11"/>
    <mergeCell ref="M11:O11"/>
    <mergeCell ref="AB11:AD11"/>
    <mergeCell ref="AV2:AZ2"/>
    <mergeCell ref="A3:I3"/>
    <mergeCell ref="AL11:AX11"/>
    <mergeCell ref="AY11:AZ11"/>
    <mergeCell ref="AL3:AP3"/>
    <mergeCell ref="AQ3:AU3"/>
    <mergeCell ref="AV3:AZ3"/>
    <mergeCell ref="E9:H9"/>
    <mergeCell ref="I9:L9"/>
    <mergeCell ref="AL17:AX17"/>
    <mergeCell ref="AL18:AX18"/>
    <mergeCell ref="AL19:AX19"/>
    <mergeCell ref="AL23:AX23"/>
    <mergeCell ref="AL24:AX24"/>
    <mergeCell ref="AL25:AX25"/>
    <mergeCell ref="AL26:AX26"/>
    <mergeCell ref="AL27:AX27"/>
    <mergeCell ref="AL20:AX20"/>
    <mergeCell ref="AY33:AZ33"/>
    <mergeCell ref="AY34:AZ34"/>
    <mergeCell ref="AL28:AX28"/>
    <mergeCell ref="AL29:AX29"/>
    <mergeCell ref="AL30:AX30"/>
    <mergeCell ref="AL31:AX31"/>
    <mergeCell ref="AL33:AX33"/>
    <mergeCell ref="AL34:AX34"/>
    <mergeCell ref="AL35:AX35"/>
    <mergeCell ref="AY29:AZ29"/>
    <mergeCell ref="AY30:AZ30"/>
    <mergeCell ref="AY31:AZ31"/>
    <mergeCell ref="AY32:AZ32"/>
    <mergeCell ref="AL32:AX32"/>
    <mergeCell ref="AL38:AX38"/>
    <mergeCell ref="AL39:AX39"/>
    <mergeCell ref="AL40:AX40"/>
    <mergeCell ref="AL41:AX41"/>
    <mergeCell ref="AL36:AX36"/>
    <mergeCell ref="AL37:AX37"/>
    <mergeCell ref="AY17:AZ17"/>
    <mergeCell ref="AY18:AZ18"/>
    <mergeCell ref="AY19:AZ19"/>
    <mergeCell ref="AY35:AZ35"/>
    <mergeCell ref="AY36:AZ36"/>
    <mergeCell ref="AY37:AZ37"/>
    <mergeCell ref="AY38:AZ38"/>
    <mergeCell ref="AY39:AZ39"/>
    <mergeCell ref="AY40:AZ40"/>
    <mergeCell ref="AY20:AZ20"/>
    <mergeCell ref="AY21:AZ21"/>
    <mergeCell ref="AY22:AZ22"/>
    <mergeCell ref="AY23:AZ23"/>
    <mergeCell ref="AY24:AZ24"/>
    <mergeCell ref="AY25:AZ25"/>
    <mergeCell ref="AY26:AZ26"/>
    <mergeCell ref="AY27:AZ27"/>
    <mergeCell ref="AY28:AZ28"/>
  </mergeCells>
  <phoneticPr fontId="1"/>
  <conditionalFormatting sqref="A11:AL41">
    <cfRule type="expression" dxfId="272" priority="12">
      <formula>$AH11="シフト休"</formula>
    </cfRule>
    <cfRule type="expression" dxfId="271" priority="13">
      <formula>$AH11="シフト出勤"</formula>
    </cfRule>
    <cfRule type="expression" dxfId="270" priority="14">
      <formula>$AH11="欠勤"</formula>
    </cfRule>
    <cfRule type="expression" dxfId="269" priority="15">
      <formula>$AH11="有給"</formula>
    </cfRule>
    <cfRule type="expression" dxfId="268" priority="16">
      <formula>$AH11="代休"</formula>
    </cfRule>
    <cfRule type="expression" dxfId="267" priority="21">
      <formula>$AH11="休日出勤"</formula>
    </cfRule>
  </conditionalFormatting>
  <conditionalFormatting sqref="A11:AL41">
    <cfRule type="expression" dxfId="266" priority="62">
      <formula>$AH11="祝日"</formula>
    </cfRule>
    <cfRule type="expression" dxfId="265" priority="63">
      <formula>$C11="日"</formula>
    </cfRule>
    <cfRule type="expression" dxfId="264" priority="64">
      <formula>$C11="土"</formula>
    </cfRule>
  </conditionalFormatting>
  <conditionalFormatting sqref="AY11:AY41">
    <cfRule type="expression" dxfId="263" priority="3">
      <formula>$AH11="シフト休"</formula>
    </cfRule>
    <cfRule type="expression" dxfId="262" priority="4">
      <formula>$AH11="シフト出勤"</formula>
    </cfRule>
    <cfRule type="expression" dxfId="261" priority="5">
      <formula>$AH11="欠勤"</formula>
    </cfRule>
    <cfRule type="expression" dxfId="260" priority="6">
      <formula>$AH11="有給"</formula>
    </cfRule>
    <cfRule type="expression" dxfId="259" priority="7">
      <formula>$AH11="代休"</formula>
    </cfRule>
    <cfRule type="expression" dxfId="258" priority="8">
      <formula>$AH11="休日出勤"</formula>
    </cfRule>
  </conditionalFormatting>
  <conditionalFormatting sqref="AY11:AY41">
    <cfRule type="expression" dxfId="257" priority="9">
      <formula>$AH11="祝日"</formula>
    </cfRule>
    <cfRule type="expression" dxfId="256" priority="10">
      <formula>$C11="日"</formula>
    </cfRule>
    <cfRule type="expression" dxfId="255" priority="11">
      <formula>$C11="土"</formula>
    </cfRule>
  </conditionalFormatting>
  <conditionalFormatting sqref="A11:AZ41">
    <cfRule type="expression" dxfId="254" priority="2">
      <formula>$AH11="有給/欠勤"</formula>
    </cfRule>
  </conditionalFormatting>
  <dataValidations count="2">
    <dataValidation type="list" allowBlank="1" showInputMessage="1" showErrorMessage="1" sqref="AH11:AK41" xr:uid="{00000000-0002-0000-0000-000000000000}">
      <formula1>"有給,代休,欠勤,遅刻,早退,徹夜,シフト出勤,シフト休,祝日,休日出勤,有給/欠勤"</formula1>
    </dataValidation>
    <dataValidation type="list" allowBlank="1" showInputMessage="1" showErrorMessage="1" sqref="AY11:AZ41" xr:uid="{D68009A5-6690-4A3E-9088-BCE64A72FED9}">
      <formula1>",〇"</formula1>
    </dataValidation>
  </dataValidations>
  <printOptions horizontalCentered="1" verticalCentered="1"/>
  <pageMargins left="0.19685039370078741" right="0.19685039370078741" top="0.39370078740157483" bottom="0.59055118110236227" header="0.19685039370078741" footer="0.19685039370078741"/>
  <pageSetup paperSize="9" scale="6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  <pageSetUpPr fitToPage="1"/>
  </sheetPr>
  <dimension ref="A1:BD44"/>
  <sheetViews>
    <sheetView tabSelected="1" view="pageBreakPreview" zoomScaleNormal="100" zoomScaleSheetLayoutView="100" workbookViewId="0">
      <selection activeCell="A3" sqref="A3:I3"/>
    </sheetView>
  </sheetViews>
  <sheetFormatPr defaultColWidth="2.625" defaultRowHeight="13.5" x14ac:dyDescent="0.15"/>
  <cols>
    <col min="1" max="1" width="2.625" style="2"/>
    <col min="2" max="2" width="2.625" style="2" customWidth="1"/>
    <col min="3" max="9" width="2.625" style="2"/>
    <col min="10" max="10" width="2.625" style="2" customWidth="1"/>
    <col min="11" max="33" width="2.625" style="2"/>
    <col min="34" max="37" width="3.5" style="2" customWidth="1"/>
    <col min="38" max="55" width="2.625" style="2"/>
    <col min="56" max="56" width="22.625" style="2" customWidth="1"/>
    <col min="57" max="16384" width="2.625" style="2"/>
  </cols>
  <sheetData>
    <row r="1" spans="1:56" ht="14.25" thickBo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56" ht="17.25" x14ac:dyDescent="0.15">
      <c r="A2" s="22"/>
      <c r="B2" s="22"/>
      <c r="C2" s="22"/>
      <c r="D2" s="22"/>
      <c r="E2" s="22"/>
      <c r="F2" s="22"/>
      <c r="G2" s="22"/>
      <c r="H2" s="22"/>
      <c r="I2" s="22"/>
      <c r="J2" s="5"/>
      <c r="K2" s="5"/>
      <c r="L2" s="5"/>
      <c r="AL2" s="23"/>
      <c r="AM2" s="23"/>
      <c r="AN2" s="23"/>
      <c r="AO2" s="23"/>
      <c r="AP2" s="24"/>
      <c r="AQ2" s="25" t="s">
        <v>44</v>
      </c>
      <c r="AR2" s="25"/>
      <c r="AS2" s="25"/>
      <c r="AT2" s="25"/>
      <c r="AU2" s="26"/>
      <c r="AV2" s="46" t="s">
        <v>45</v>
      </c>
      <c r="AW2" s="25"/>
      <c r="AX2" s="25"/>
      <c r="AY2" s="25"/>
      <c r="AZ2" s="47"/>
    </row>
    <row r="3" spans="1:56" ht="43.5" customHeight="1" thickBot="1" x14ac:dyDescent="0.2">
      <c r="A3" s="148">
        <v>43739</v>
      </c>
      <c r="B3" s="148"/>
      <c r="C3" s="148"/>
      <c r="D3" s="148"/>
      <c r="E3" s="148"/>
      <c r="F3" s="148"/>
      <c r="G3" s="148"/>
      <c r="H3" s="148"/>
      <c r="I3" s="148"/>
      <c r="J3" s="8">
        <f>DAY(EOMONTH(A3,0))</f>
        <v>31</v>
      </c>
      <c r="K3" s="149" t="s">
        <v>0</v>
      </c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53"/>
      <c r="AM3" s="53"/>
      <c r="AN3" s="53"/>
      <c r="AO3" s="53"/>
      <c r="AP3" s="54"/>
      <c r="AQ3" s="55"/>
      <c r="AR3" s="55"/>
      <c r="AS3" s="55"/>
      <c r="AT3" s="55"/>
      <c r="AU3" s="56"/>
      <c r="AV3" s="57"/>
      <c r="AW3" s="55"/>
      <c r="AX3" s="55"/>
      <c r="AY3" s="55"/>
      <c r="AZ3" s="58"/>
    </row>
    <row r="4" spans="1:56" ht="14.25" customHeight="1" thickBot="1" x14ac:dyDescent="0.2"/>
    <row r="5" spans="1:56" ht="24" customHeight="1" thickBot="1" x14ac:dyDescent="0.2">
      <c r="A5" s="27" t="s">
        <v>10</v>
      </c>
      <c r="B5" s="28"/>
      <c r="C5" s="28"/>
      <c r="D5" s="28"/>
      <c r="E5" s="28"/>
      <c r="F5" s="28"/>
      <c r="G5" s="91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3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27" t="s">
        <v>1</v>
      </c>
      <c r="AM5" s="28"/>
      <c r="AN5" s="28"/>
      <c r="AO5" s="28"/>
      <c r="AP5" s="29"/>
      <c r="AQ5" s="30">
        <f>COUNTIF(E12:H42,"&lt;&gt;")</f>
        <v>0</v>
      </c>
      <c r="AR5" s="70"/>
      <c r="AS5" s="70"/>
      <c r="AT5" s="70"/>
      <c r="AU5" s="70"/>
      <c r="AV5" s="71"/>
      <c r="AW5" s="71"/>
      <c r="AX5" s="72" t="s">
        <v>2</v>
      </c>
      <c r="AY5" s="72"/>
      <c r="AZ5" s="73"/>
    </row>
    <row r="6" spans="1:56" ht="24" customHeight="1" thickBot="1" x14ac:dyDescent="0.2">
      <c r="A6" s="27" t="s">
        <v>11</v>
      </c>
      <c r="B6" s="28"/>
      <c r="C6" s="28"/>
      <c r="D6" s="28"/>
      <c r="E6" s="28"/>
      <c r="F6" s="28"/>
      <c r="G6" s="91" t="s">
        <v>49</v>
      </c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3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27" t="s">
        <v>3</v>
      </c>
      <c r="AM6" s="28"/>
      <c r="AN6" s="28"/>
      <c r="AO6" s="28"/>
      <c r="AP6" s="29"/>
      <c r="AQ6" s="150">
        <f>COUNTBLANK(I12:I42)-COUNTBLANK(C12:C42)</f>
        <v>31</v>
      </c>
      <c r="AR6" s="151"/>
      <c r="AS6" s="151"/>
      <c r="AT6" s="151"/>
      <c r="AU6" s="151"/>
      <c r="AV6" s="151"/>
      <c r="AW6" s="151"/>
      <c r="AX6" s="72" t="s">
        <v>2</v>
      </c>
      <c r="AY6" s="72"/>
      <c r="AZ6" s="73"/>
    </row>
    <row r="7" spans="1:56" ht="14.25" x14ac:dyDescent="0.15">
      <c r="A7" s="10"/>
      <c r="B7" s="15"/>
      <c r="C7" s="10"/>
      <c r="D7" s="10"/>
      <c r="E7" s="10"/>
      <c r="F7" s="10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10"/>
      <c r="AM7" s="10"/>
      <c r="AN7" s="10"/>
      <c r="AO7" s="10"/>
      <c r="AP7" s="10"/>
      <c r="AQ7" s="11"/>
      <c r="AR7" s="11"/>
      <c r="AS7" s="11"/>
      <c r="AT7" s="11"/>
      <c r="AU7" s="11"/>
      <c r="AV7" s="11"/>
      <c r="AW7" s="11"/>
      <c r="AX7" s="12"/>
      <c r="AY7" s="12"/>
      <c r="AZ7" s="12"/>
    </row>
    <row r="8" spans="1:56" ht="14.25" customHeight="1" thickBot="1" x14ac:dyDescent="0.2">
      <c r="B8" s="14"/>
    </row>
    <row r="9" spans="1:56" ht="14.25" customHeight="1" x14ac:dyDescent="0.15">
      <c r="A9" s="110" t="s">
        <v>4</v>
      </c>
      <c r="B9" s="111"/>
      <c r="C9" s="111"/>
      <c r="D9" s="112"/>
      <c r="E9" s="3" t="s">
        <v>5</v>
      </c>
      <c r="F9" s="4"/>
      <c r="G9" s="4"/>
      <c r="H9" s="4"/>
      <c r="I9" s="4"/>
      <c r="J9" s="4"/>
      <c r="K9" s="4"/>
      <c r="L9" s="4"/>
      <c r="M9" s="121" t="s">
        <v>16</v>
      </c>
      <c r="N9" s="111"/>
      <c r="O9" s="111"/>
      <c r="P9" s="111"/>
      <c r="Q9" s="111"/>
      <c r="R9" s="112"/>
      <c r="S9" s="75" t="s">
        <v>17</v>
      </c>
      <c r="T9" s="75"/>
      <c r="U9" s="76"/>
      <c r="V9" s="74" t="s">
        <v>43</v>
      </c>
      <c r="W9" s="75"/>
      <c r="X9" s="75"/>
      <c r="Y9" s="74" t="s">
        <v>26</v>
      </c>
      <c r="Z9" s="75"/>
      <c r="AA9" s="76"/>
      <c r="AB9" s="74" t="s">
        <v>25</v>
      </c>
      <c r="AC9" s="75"/>
      <c r="AD9" s="76"/>
      <c r="AE9" s="84" t="s">
        <v>24</v>
      </c>
      <c r="AF9" s="75"/>
      <c r="AG9" s="85"/>
      <c r="AH9" s="83" t="s">
        <v>48</v>
      </c>
      <c r="AI9" s="84"/>
      <c r="AJ9" s="75"/>
      <c r="AK9" s="85"/>
      <c r="AL9" s="90" t="s">
        <v>32</v>
      </c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83" t="s">
        <v>46</v>
      </c>
      <c r="AZ9" s="85"/>
      <c r="BA9" s="146"/>
      <c r="BB9" s="147"/>
    </row>
    <row r="10" spans="1:56" ht="14.25" customHeight="1" x14ac:dyDescent="0.15">
      <c r="A10" s="114" t="s">
        <v>7</v>
      </c>
      <c r="B10" s="115"/>
      <c r="C10" s="116" t="s">
        <v>8</v>
      </c>
      <c r="D10" s="115"/>
      <c r="E10" s="59" t="s">
        <v>13</v>
      </c>
      <c r="F10" s="60"/>
      <c r="G10" s="60"/>
      <c r="H10" s="60"/>
      <c r="I10" s="60" t="s">
        <v>47</v>
      </c>
      <c r="J10" s="60"/>
      <c r="K10" s="60"/>
      <c r="L10" s="60"/>
      <c r="M10" s="94">
        <v>0.20833333333333334</v>
      </c>
      <c r="N10" s="95"/>
      <c r="O10" s="96"/>
      <c r="P10" s="94">
        <v>0.91666666666666663</v>
      </c>
      <c r="Q10" s="95"/>
      <c r="R10" s="96"/>
      <c r="S10" s="78"/>
      <c r="T10" s="78"/>
      <c r="U10" s="79"/>
      <c r="V10" s="77"/>
      <c r="W10" s="78"/>
      <c r="X10" s="78"/>
      <c r="Y10" s="77"/>
      <c r="Z10" s="78"/>
      <c r="AA10" s="79"/>
      <c r="AB10" s="77"/>
      <c r="AC10" s="78"/>
      <c r="AD10" s="79"/>
      <c r="AE10" s="78"/>
      <c r="AF10" s="78"/>
      <c r="AG10" s="87"/>
      <c r="AH10" s="86"/>
      <c r="AI10" s="78"/>
      <c r="AJ10" s="78"/>
      <c r="AK10" s="87"/>
      <c r="AL10" s="86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86"/>
      <c r="AZ10" s="87"/>
      <c r="BA10" s="146"/>
      <c r="BB10" s="147"/>
    </row>
    <row r="11" spans="1:56" ht="14.25" customHeight="1" thickBot="1" x14ac:dyDescent="0.2">
      <c r="A11" s="88"/>
      <c r="B11" s="82"/>
      <c r="C11" s="80"/>
      <c r="D11" s="82"/>
      <c r="E11" s="117" t="s">
        <v>14</v>
      </c>
      <c r="F11" s="118"/>
      <c r="G11" s="118"/>
      <c r="H11" s="119"/>
      <c r="I11" s="120" t="s">
        <v>14</v>
      </c>
      <c r="J11" s="118"/>
      <c r="K11" s="118"/>
      <c r="L11" s="118"/>
      <c r="M11" s="97">
        <v>0.91666666666666663</v>
      </c>
      <c r="N11" s="98"/>
      <c r="O11" s="99"/>
      <c r="P11" s="97">
        <v>1.2083333333333333</v>
      </c>
      <c r="Q11" s="98"/>
      <c r="R11" s="99"/>
      <c r="S11" s="81"/>
      <c r="T11" s="81"/>
      <c r="U11" s="82"/>
      <c r="V11" s="80"/>
      <c r="W11" s="81"/>
      <c r="X11" s="81"/>
      <c r="Y11" s="80"/>
      <c r="Z11" s="81"/>
      <c r="AA11" s="82"/>
      <c r="AB11" s="80"/>
      <c r="AC11" s="81"/>
      <c r="AD11" s="82"/>
      <c r="AE11" s="81"/>
      <c r="AF11" s="81"/>
      <c r="AG11" s="89"/>
      <c r="AH11" s="88"/>
      <c r="AI11" s="81"/>
      <c r="AJ11" s="81"/>
      <c r="AK11" s="89"/>
      <c r="AL11" s="88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8"/>
      <c r="AZ11" s="89"/>
      <c r="BA11" s="146"/>
      <c r="BB11" s="147"/>
    </row>
    <row r="12" spans="1:56" ht="24" customHeight="1" x14ac:dyDescent="0.15">
      <c r="A12" s="32">
        <f>A3</f>
        <v>43739</v>
      </c>
      <c r="B12" s="33"/>
      <c r="C12" s="34" t="str">
        <f>IF(A12&lt;&gt;"",TEXT(A12,"aaa"),"")</f>
        <v>火</v>
      </c>
      <c r="D12" s="35"/>
      <c r="E12" s="36"/>
      <c r="F12" s="37"/>
      <c r="G12" s="37"/>
      <c r="H12" s="38"/>
      <c r="I12" s="39"/>
      <c r="J12" s="37"/>
      <c r="K12" s="37"/>
      <c r="L12" s="40"/>
      <c r="M12" s="36"/>
      <c r="N12" s="37"/>
      <c r="O12" s="40"/>
      <c r="P12" s="36"/>
      <c r="Q12" s="37"/>
      <c r="R12" s="40"/>
      <c r="S12" s="41">
        <f t="shared" ref="S12:S42" si="0">I12-E12</f>
        <v>0</v>
      </c>
      <c r="T12" s="41"/>
      <c r="U12" s="42"/>
      <c r="V12" s="43">
        <f>S12-M12-P12</f>
        <v>0</v>
      </c>
      <c r="W12" s="44"/>
      <c r="X12" s="44"/>
      <c r="Y12" s="61" t="str">
        <f t="shared" ref="Y12:Y42" si="1">IF(V12&gt;TIME(8,0,0),V12-TIME(8,0,0),"")</f>
        <v/>
      </c>
      <c r="Z12" s="62"/>
      <c r="AA12" s="63"/>
      <c r="AB12" s="43" t="str">
        <f t="shared" ref="AB12:AB23" si="2">IF(I12&gt;$P$10,IF(I12&gt;$P$11,IF(E12&gt;$P$10,$P$11-E12-P12,TIME(7,0,0)-P12),IF(E12&gt;$P$10,I12-E12-P12,I12-TIME(22,0,0)-P12)),"")</f>
        <v/>
      </c>
      <c r="AC12" s="44"/>
      <c r="AD12" s="68"/>
      <c r="AE12" s="41" t="str">
        <f t="shared" ref="AE12:AE42" si="3">IF(AH12="休日出勤",V12,"")</f>
        <v/>
      </c>
      <c r="AF12" s="41"/>
      <c r="AG12" s="69"/>
      <c r="AH12" s="100"/>
      <c r="AI12" s="37"/>
      <c r="AJ12" s="37"/>
      <c r="AK12" s="101"/>
      <c r="AL12" s="49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1" t="s">
        <v>50</v>
      </c>
      <c r="AZ12" s="52"/>
      <c r="BA12" s="146"/>
      <c r="BB12" s="147"/>
      <c r="BD12" s="6"/>
    </row>
    <row r="13" spans="1:56" ht="24" customHeight="1" x14ac:dyDescent="0.15">
      <c r="A13" s="102">
        <f>IF(ROW()-11&lt;=$J$3,A12+1,"")</f>
        <v>43740</v>
      </c>
      <c r="B13" s="103"/>
      <c r="C13" s="104" t="str">
        <f t="shared" ref="C13:C42" si="4">IF(A13&lt;&gt;"",TEXT(A13,"aaa"),"")</f>
        <v>水</v>
      </c>
      <c r="D13" s="104"/>
      <c r="E13" s="105"/>
      <c r="F13" s="106"/>
      <c r="G13" s="106"/>
      <c r="H13" s="107"/>
      <c r="I13" s="108"/>
      <c r="J13" s="106"/>
      <c r="K13" s="106"/>
      <c r="L13" s="109"/>
      <c r="M13" s="105"/>
      <c r="N13" s="106"/>
      <c r="O13" s="109"/>
      <c r="P13" s="105"/>
      <c r="Q13" s="106"/>
      <c r="R13" s="109"/>
      <c r="S13" s="62">
        <f t="shared" si="0"/>
        <v>0</v>
      </c>
      <c r="T13" s="62"/>
      <c r="U13" s="63"/>
      <c r="V13" s="61">
        <f>S13-M13-P13</f>
        <v>0</v>
      </c>
      <c r="W13" s="62"/>
      <c r="X13" s="62"/>
      <c r="Y13" s="61" t="str">
        <f t="shared" si="1"/>
        <v/>
      </c>
      <c r="Z13" s="62"/>
      <c r="AA13" s="63"/>
      <c r="AB13" s="43" t="str">
        <f t="shared" si="2"/>
        <v/>
      </c>
      <c r="AC13" s="44"/>
      <c r="AD13" s="68"/>
      <c r="AE13" s="44" t="str">
        <f t="shared" si="3"/>
        <v/>
      </c>
      <c r="AF13" s="44"/>
      <c r="AG13" s="64"/>
      <c r="AH13" s="152"/>
      <c r="AI13" s="106"/>
      <c r="AJ13" s="106"/>
      <c r="AK13" s="153"/>
      <c r="AL13" s="16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20" t="s">
        <v>50</v>
      </c>
      <c r="AZ13" s="21"/>
      <c r="BD13" s="6"/>
    </row>
    <row r="14" spans="1:56" ht="24" customHeight="1" x14ac:dyDescent="0.15">
      <c r="A14" s="102">
        <f t="shared" ref="A14:A42" si="5">IF(ROW()-11&lt;=$J$3,A13+1,"")</f>
        <v>43741</v>
      </c>
      <c r="B14" s="103"/>
      <c r="C14" s="104" t="str">
        <f t="shared" si="4"/>
        <v>木</v>
      </c>
      <c r="D14" s="104"/>
      <c r="E14" s="105"/>
      <c r="F14" s="106"/>
      <c r="G14" s="106"/>
      <c r="H14" s="107"/>
      <c r="I14" s="108"/>
      <c r="J14" s="106"/>
      <c r="K14" s="106"/>
      <c r="L14" s="109"/>
      <c r="M14" s="105"/>
      <c r="N14" s="106"/>
      <c r="O14" s="109"/>
      <c r="P14" s="105"/>
      <c r="Q14" s="106"/>
      <c r="R14" s="109"/>
      <c r="S14" s="62">
        <f t="shared" si="0"/>
        <v>0</v>
      </c>
      <c r="T14" s="62"/>
      <c r="U14" s="63"/>
      <c r="V14" s="61">
        <f t="shared" ref="V14:V42" si="6">S14-M14-P14</f>
        <v>0</v>
      </c>
      <c r="W14" s="62"/>
      <c r="X14" s="62"/>
      <c r="Y14" s="61" t="str">
        <f t="shared" si="1"/>
        <v/>
      </c>
      <c r="Z14" s="62"/>
      <c r="AA14" s="63"/>
      <c r="AB14" s="43" t="str">
        <f t="shared" si="2"/>
        <v/>
      </c>
      <c r="AC14" s="44"/>
      <c r="AD14" s="68"/>
      <c r="AE14" s="44" t="str">
        <f t="shared" si="3"/>
        <v/>
      </c>
      <c r="AF14" s="44"/>
      <c r="AG14" s="64"/>
      <c r="AH14" s="152"/>
      <c r="AI14" s="106"/>
      <c r="AJ14" s="106"/>
      <c r="AK14" s="153"/>
      <c r="AL14" s="16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20" t="s">
        <v>50</v>
      </c>
      <c r="AZ14" s="21"/>
    </row>
    <row r="15" spans="1:56" ht="24" customHeight="1" x14ac:dyDescent="0.15">
      <c r="A15" s="102">
        <f t="shared" si="5"/>
        <v>43742</v>
      </c>
      <c r="B15" s="103"/>
      <c r="C15" s="104" t="str">
        <f t="shared" si="4"/>
        <v>金</v>
      </c>
      <c r="D15" s="104"/>
      <c r="E15" s="105"/>
      <c r="F15" s="106"/>
      <c r="G15" s="106"/>
      <c r="H15" s="107"/>
      <c r="I15" s="108"/>
      <c r="J15" s="106"/>
      <c r="K15" s="106"/>
      <c r="L15" s="109"/>
      <c r="M15" s="105"/>
      <c r="N15" s="106"/>
      <c r="O15" s="109"/>
      <c r="P15" s="105"/>
      <c r="Q15" s="106"/>
      <c r="R15" s="109"/>
      <c r="S15" s="62">
        <f t="shared" si="0"/>
        <v>0</v>
      </c>
      <c r="T15" s="62"/>
      <c r="U15" s="63"/>
      <c r="V15" s="61">
        <f t="shared" si="6"/>
        <v>0</v>
      </c>
      <c r="W15" s="62"/>
      <c r="X15" s="62"/>
      <c r="Y15" s="61" t="str">
        <f t="shared" si="1"/>
        <v/>
      </c>
      <c r="Z15" s="62"/>
      <c r="AA15" s="63"/>
      <c r="AB15" s="43" t="str">
        <f t="shared" si="2"/>
        <v/>
      </c>
      <c r="AC15" s="44"/>
      <c r="AD15" s="68"/>
      <c r="AE15" s="44" t="str">
        <f t="shared" si="3"/>
        <v/>
      </c>
      <c r="AF15" s="44"/>
      <c r="AG15" s="64"/>
      <c r="AH15" s="152"/>
      <c r="AI15" s="106"/>
      <c r="AJ15" s="106"/>
      <c r="AK15" s="153"/>
      <c r="AL15" s="16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20" t="s">
        <v>50</v>
      </c>
      <c r="AZ15" s="21"/>
    </row>
    <row r="16" spans="1:56" ht="24" customHeight="1" x14ac:dyDescent="0.15">
      <c r="A16" s="102">
        <f t="shared" si="5"/>
        <v>43743</v>
      </c>
      <c r="B16" s="103"/>
      <c r="C16" s="104" t="str">
        <f t="shared" si="4"/>
        <v>土</v>
      </c>
      <c r="D16" s="104"/>
      <c r="E16" s="105"/>
      <c r="F16" s="106"/>
      <c r="G16" s="106"/>
      <c r="H16" s="107"/>
      <c r="I16" s="108"/>
      <c r="J16" s="106"/>
      <c r="K16" s="106"/>
      <c r="L16" s="109"/>
      <c r="M16" s="105"/>
      <c r="N16" s="106"/>
      <c r="O16" s="109"/>
      <c r="P16" s="105"/>
      <c r="Q16" s="106"/>
      <c r="R16" s="109"/>
      <c r="S16" s="62">
        <f t="shared" si="0"/>
        <v>0</v>
      </c>
      <c r="T16" s="62"/>
      <c r="U16" s="63"/>
      <c r="V16" s="61">
        <f t="shared" si="6"/>
        <v>0</v>
      </c>
      <c r="W16" s="62"/>
      <c r="X16" s="62"/>
      <c r="Y16" s="61" t="str">
        <f t="shared" si="1"/>
        <v/>
      </c>
      <c r="Z16" s="62"/>
      <c r="AA16" s="63"/>
      <c r="AB16" s="43" t="str">
        <f t="shared" si="2"/>
        <v/>
      </c>
      <c r="AC16" s="44"/>
      <c r="AD16" s="68"/>
      <c r="AE16" s="44" t="str">
        <f t="shared" si="3"/>
        <v/>
      </c>
      <c r="AF16" s="44"/>
      <c r="AG16" s="64"/>
      <c r="AH16" s="152"/>
      <c r="AI16" s="106"/>
      <c r="AJ16" s="106"/>
      <c r="AK16" s="153"/>
      <c r="AL16" s="16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20" t="s">
        <v>50</v>
      </c>
      <c r="AZ16" s="21"/>
    </row>
    <row r="17" spans="1:52" ht="24" customHeight="1" x14ac:dyDescent="0.15">
      <c r="A17" s="102">
        <f t="shared" si="5"/>
        <v>43744</v>
      </c>
      <c r="B17" s="103"/>
      <c r="C17" s="104" t="str">
        <f t="shared" si="4"/>
        <v>日</v>
      </c>
      <c r="D17" s="104"/>
      <c r="E17" s="105"/>
      <c r="F17" s="106"/>
      <c r="G17" s="106"/>
      <c r="H17" s="107"/>
      <c r="I17" s="108"/>
      <c r="J17" s="106"/>
      <c r="K17" s="106"/>
      <c r="L17" s="109"/>
      <c r="M17" s="105"/>
      <c r="N17" s="106"/>
      <c r="O17" s="109"/>
      <c r="P17" s="105"/>
      <c r="Q17" s="106"/>
      <c r="R17" s="109"/>
      <c r="S17" s="62">
        <f t="shared" si="0"/>
        <v>0</v>
      </c>
      <c r="T17" s="62"/>
      <c r="U17" s="63"/>
      <c r="V17" s="61">
        <f t="shared" si="6"/>
        <v>0</v>
      </c>
      <c r="W17" s="62"/>
      <c r="X17" s="62"/>
      <c r="Y17" s="61" t="str">
        <f t="shared" si="1"/>
        <v/>
      </c>
      <c r="Z17" s="62"/>
      <c r="AA17" s="63"/>
      <c r="AB17" s="43" t="str">
        <f t="shared" si="2"/>
        <v/>
      </c>
      <c r="AC17" s="44"/>
      <c r="AD17" s="68"/>
      <c r="AE17" s="44" t="str">
        <f t="shared" si="3"/>
        <v/>
      </c>
      <c r="AF17" s="44"/>
      <c r="AG17" s="64"/>
      <c r="AH17" s="152"/>
      <c r="AI17" s="106"/>
      <c r="AJ17" s="106"/>
      <c r="AK17" s="153"/>
      <c r="AL17" s="16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20" t="s">
        <v>50</v>
      </c>
      <c r="AZ17" s="21"/>
    </row>
    <row r="18" spans="1:52" ht="24" customHeight="1" x14ac:dyDescent="0.15">
      <c r="A18" s="102">
        <f t="shared" si="5"/>
        <v>43745</v>
      </c>
      <c r="B18" s="103"/>
      <c r="C18" s="104" t="str">
        <f t="shared" si="4"/>
        <v>月</v>
      </c>
      <c r="D18" s="104"/>
      <c r="E18" s="105"/>
      <c r="F18" s="106"/>
      <c r="G18" s="106"/>
      <c r="H18" s="107"/>
      <c r="I18" s="108"/>
      <c r="J18" s="106"/>
      <c r="K18" s="106"/>
      <c r="L18" s="109"/>
      <c r="M18" s="105"/>
      <c r="N18" s="106"/>
      <c r="O18" s="109"/>
      <c r="P18" s="105"/>
      <c r="Q18" s="106"/>
      <c r="R18" s="109"/>
      <c r="S18" s="62">
        <f t="shared" si="0"/>
        <v>0</v>
      </c>
      <c r="T18" s="62"/>
      <c r="U18" s="63"/>
      <c r="V18" s="61">
        <f t="shared" si="6"/>
        <v>0</v>
      </c>
      <c r="W18" s="62"/>
      <c r="X18" s="62"/>
      <c r="Y18" s="61" t="str">
        <f t="shared" si="1"/>
        <v/>
      </c>
      <c r="Z18" s="62"/>
      <c r="AA18" s="63"/>
      <c r="AB18" s="43" t="str">
        <f t="shared" si="2"/>
        <v/>
      </c>
      <c r="AC18" s="44"/>
      <c r="AD18" s="68"/>
      <c r="AE18" s="44" t="str">
        <f t="shared" si="3"/>
        <v/>
      </c>
      <c r="AF18" s="44"/>
      <c r="AG18" s="64"/>
      <c r="AH18" s="152"/>
      <c r="AI18" s="106"/>
      <c r="AJ18" s="106"/>
      <c r="AK18" s="153"/>
      <c r="AL18" s="16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20" t="s">
        <v>50</v>
      </c>
      <c r="AZ18" s="21"/>
    </row>
    <row r="19" spans="1:52" ht="24" customHeight="1" x14ac:dyDescent="0.15">
      <c r="A19" s="102">
        <f t="shared" si="5"/>
        <v>43746</v>
      </c>
      <c r="B19" s="103"/>
      <c r="C19" s="104" t="str">
        <f t="shared" si="4"/>
        <v>火</v>
      </c>
      <c r="D19" s="104"/>
      <c r="E19" s="105"/>
      <c r="F19" s="106"/>
      <c r="G19" s="106"/>
      <c r="H19" s="107"/>
      <c r="I19" s="108"/>
      <c r="J19" s="106"/>
      <c r="K19" s="106"/>
      <c r="L19" s="109"/>
      <c r="M19" s="105"/>
      <c r="N19" s="106"/>
      <c r="O19" s="109"/>
      <c r="P19" s="105"/>
      <c r="Q19" s="106"/>
      <c r="R19" s="109"/>
      <c r="S19" s="62">
        <f t="shared" si="0"/>
        <v>0</v>
      </c>
      <c r="T19" s="62"/>
      <c r="U19" s="63"/>
      <c r="V19" s="61">
        <f t="shared" si="6"/>
        <v>0</v>
      </c>
      <c r="W19" s="62"/>
      <c r="X19" s="62"/>
      <c r="Y19" s="61" t="str">
        <f t="shared" si="1"/>
        <v/>
      </c>
      <c r="Z19" s="62"/>
      <c r="AA19" s="63"/>
      <c r="AB19" s="43" t="str">
        <f t="shared" si="2"/>
        <v/>
      </c>
      <c r="AC19" s="44"/>
      <c r="AD19" s="68"/>
      <c r="AE19" s="44" t="str">
        <f t="shared" si="3"/>
        <v/>
      </c>
      <c r="AF19" s="44"/>
      <c r="AG19" s="64"/>
      <c r="AH19" s="152"/>
      <c r="AI19" s="106"/>
      <c r="AJ19" s="106"/>
      <c r="AK19" s="153"/>
      <c r="AL19" s="16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20" t="s">
        <v>50</v>
      </c>
      <c r="AZ19" s="21"/>
    </row>
    <row r="20" spans="1:52" ht="24" customHeight="1" x14ac:dyDescent="0.15">
      <c r="A20" s="102">
        <f t="shared" si="5"/>
        <v>43747</v>
      </c>
      <c r="B20" s="103"/>
      <c r="C20" s="104" t="str">
        <f t="shared" si="4"/>
        <v>水</v>
      </c>
      <c r="D20" s="104"/>
      <c r="E20" s="105"/>
      <c r="F20" s="106"/>
      <c r="G20" s="106"/>
      <c r="H20" s="107"/>
      <c r="I20" s="108"/>
      <c r="J20" s="106"/>
      <c r="K20" s="106"/>
      <c r="L20" s="109"/>
      <c r="M20" s="105"/>
      <c r="N20" s="106"/>
      <c r="O20" s="109"/>
      <c r="P20" s="105"/>
      <c r="Q20" s="106"/>
      <c r="R20" s="109"/>
      <c r="S20" s="62">
        <f t="shared" si="0"/>
        <v>0</v>
      </c>
      <c r="T20" s="62"/>
      <c r="U20" s="63"/>
      <c r="V20" s="61">
        <f t="shared" si="6"/>
        <v>0</v>
      </c>
      <c r="W20" s="62"/>
      <c r="X20" s="62"/>
      <c r="Y20" s="61" t="str">
        <f t="shared" si="1"/>
        <v/>
      </c>
      <c r="Z20" s="62"/>
      <c r="AA20" s="63"/>
      <c r="AB20" s="43" t="str">
        <f t="shared" si="2"/>
        <v/>
      </c>
      <c r="AC20" s="44"/>
      <c r="AD20" s="68"/>
      <c r="AE20" s="44" t="str">
        <f t="shared" si="3"/>
        <v/>
      </c>
      <c r="AF20" s="44"/>
      <c r="AG20" s="64"/>
      <c r="AH20" s="152"/>
      <c r="AI20" s="106"/>
      <c r="AJ20" s="106"/>
      <c r="AK20" s="153"/>
      <c r="AL20" s="16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20" t="s">
        <v>50</v>
      </c>
      <c r="AZ20" s="21"/>
    </row>
    <row r="21" spans="1:52" ht="24" customHeight="1" x14ac:dyDescent="0.15">
      <c r="A21" s="102">
        <f t="shared" si="5"/>
        <v>43748</v>
      </c>
      <c r="B21" s="103"/>
      <c r="C21" s="104" t="str">
        <f t="shared" si="4"/>
        <v>木</v>
      </c>
      <c r="D21" s="104"/>
      <c r="E21" s="105"/>
      <c r="F21" s="106"/>
      <c r="G21" s="106"/>
      <c r="H21" s="107"/>
      <c r="I21" s="108"/>
      <c r="J21" s="106"/>
      <c r="K21" s="106"/>
      <c r="L21" s="109"/>
      <c r="M21" s="105"/>
      <c r="N21" s="106"/>
      <c r="O21" s="109"/>
      <c r="P21" s="105"/>
      <c r="Q21" s="106"/>
      <c r="R21" s="109"/>
      <c r="S21" s="62">
        <f t="shared" si="0"/>
        <v>0</v>
      </c>
      <c r="T21" s="62"/>
      <c r="U21" s="63"/>
      <c r="V21" s="61">
        <f t="shared" si="6"/>
        <v>0</v>
      </c>
      <c r="W21" s="62"/>
      <c r="X21" s="62"/>
      <c r="Y21" s="61" t="str">
        <f t="shared" si="1"/>
        <v/>
      </c>
      <c r="Z21" s="62"/>
      <c r="AA21" s="63"/>
      <c r="AB21" s="43" t="str">
        <f t="shared" si="2"/>
        <v/>
      </c>
      <c r="AC21" s="44"/>
      <c r="AD21" s="68"/>
      <c r="AE21" s="44" t="str">
        <f t="shared" si="3"/>
        <v/>
      </c>
      <c r="AF21" s="44"/>
      <c r="AG21" s="64"/>
      <c r="AH21" s="152"/>
      <c r="AI21" s="106"/>
      <c r="AJ21" s="106"/>
      <c r="AK21" s="153"/>
      <c r="AL21" s="16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20" t="s">
        <v>50</v>
      </c>
      <c r="AZ21" s="21"/>
    </row>
    <row r="22" spans="1:52" ht="24" customHeight="1" x14ac:dyDescent="0.15">
      <c r="A22" s="102">
        <f t="shared" si="5"/>
        <v>43749</v>
      </c>
      <c r="B22" s="103"/>
      <c r="C22" s="104" t="str">
        <f t="shared" si="4"/>
        <v>金</v>
      </c>
      <c r="D22" s="104"/>
      <c r="E22" s="105"/>
      <c r="F22" s="106"/>
      <c r="G22" s="106"/>
      <c r="H22" s="107"/>
      <c r="I22" s="108"/>
      <c r="J22" s="106"/>
      <c r="K22" s="106"/>
      <c r="L22" s="109"/>
      <c r="M22" s="105"/>
      <c r="N22" s="106"/>
      <c r="O22" s="109"/>
      <c r="P22" s="105"/>
      <c r="Q22" s="106"/>
      <c r="R22" s="109"/>
      <c r="S22" s="62">
        <f t="shared" si="0"/>
        <v>0</v>
      </c>
      <c r="T22" s="62"/>
      <c r="U22" s="63"/>
      <c r="V22" s="61">
        <f t="shared" si="6"/>
        <v>0</v>
      </c>
      <c r="W22" s="62"/>
      <c r="X22" s="62"/>
      <c r="Y22" s="61" t="str">
        <f t="shared" si="1"/>
        <v/>
      </c>
      <c r="Z22" s="62"/>
      <c r="AA22" s="63"/>
      <c r="AB22" s="43" t="str">
        <f t="shared" si="2"/>
        <v/>
      </c>
      <c r="AC22" s="44"/>
      <c r="AD22" s="68"/>
      <c r="AE22" s="44" t="str">
        <f t="shared" si="3"/>
        <v/>
      </c>
      <c r="AF22" s="44"/>
      <c r="AG22" s="64"/>
      <c r="AH22" s="152"/>
      <c r="AI22" s="106"/>
      <c r="AJ22" s="106"/>
      <c r="AK22" s="153"/>
      <c r="AL22" s="16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20" t="s">
        <v>50</v>
      </c>
      <c r="AZ22" s="21"/>
    </row>
    <row r="23" spans="1:52" ht="24" customHeight="1" x14ac:dyDescent="0.15">
      <c r="A23" s="102">
        <f t="shared" si="5"/>
        <v>43750</v>
      </c>
      <c r="B23" s="103"/>
      <c r="C23" s="104" t="str">
        <f t="shared" si="4"/>
        <v>土</v>
      </c>
      <c r="D23" s="104"/>
      <c r="E23" s="105"/>
      <c r="F23" s="106"/>
      <c r="G23" s="106"/>
      <c r="H23" s="107"/>
      <c r="I23" s="108"/>
      <c r="J23" s="106"/>
      <c r="K23" s="106"/>
      <c r="L23" s="109"/>
      <c r="M23" s="105"/>
      <c r="N23" s="106"/>
      <c r="O23" s="109"/>
      <c r="P23" s="105"/>
      <c r="Q23" s="106"/>
      <c r="R23" s="109"/>
      <c r="S23" s="62">
        <f t="shared" si="0"/>
        <v>0</v>
      </c>
      <c r="T23" s="62"/>
      <c r="U23" s="63"/>
      <c r="V23" s="61">
        <f t="shared" si="6"/>
        <v>0</v>
      </c>
      <c r="W23" s="62"/>
      <c r="X23" s="62"/>
      <c r="Y23" s="61" t="str">
        <f t="shared" si="1"/>
        <v/>
      </c>
      <c r="Z23" s="62"/>
      <c r="AA23" s="63"/>
      <c r="AB23" s="43" t="str">
        <f t="shared" si="2"/>
        <v/>
      </c>
      <c r="AC23" s="44"/>
      <c r="AD23" s="68"/>
      <c r="AE23" s="44" t="str">
        <f t="shared" si="3"/>
        <v/>
      </c>
      <c r="AF23" s="44"/>
      <c r="AG23" s="64"/>
      <c r="AH23" s="152"/>
      <c r="AI23" s="106"/>
      <c r="AJ23" s="106"/>
      <c r="AK23" s="153"/>
      <c r="AL23" s="16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20" t="s">
        <v>50</v>
      </c>
      <c r="AZ23" s="21"/>
    </row>
    <row r="24" spans="1:52" ht="24" customHeight="1" x14ac:dyDescent="0.15">
      <c r="A24" s="102">
        <f t="shared" si="5"/>
        <v>43751</v>
      </c>
      <c r="B24" s="103"/>
      <c r="C24" s="104" t="str">
        <f t="shared" si="4"/>
        <v>日</v>
      </c>
      <c r="D24" s="104"/>
      <c r="E24" s="105"/>
      <c r="F24" s="106"/>
      <c r="G24" s="106"/>
      <c r="H24" s="107"/>
      <c r="I24" s="108"/>
      <c r="J24" s="106"/>
      <c r="K24" s="106"/>
      <c r="L24" s="109"/>
      <c r="M24" s="105"/>
      <c r="N24" s="106"/>
      <c r="O24" s="109"/>
      <c r="P24" s="105"/>
      <c r="Q24" s="106"/>
      <c r="R24" s="109"/>
      <c r="S24" s="62">
        <f t="shared" si="0"/>
        <v>0</v>
      </c>
      <c r="T24" s="62"/>
      <c r="U24" s="63"/>
      <c r="V24" s="61">
        <f t="shared" si="6"/>
        <v>0</v>
      </c>
      <c r="W24" s="62"/>
      <c r="X24" s="62"/>
      <c r="Y24" s="61" t="str">
        <f t="shared" si="1"/>
        <v/>
      </c>
      <c r="Z24" s="62"/>
      <c r="AA24" s="63"/>
      <c r="AB24" s="43" t="str">
        <f>IF(I24&gt;$P$10,IF(I24&gt;$P$11,IF(E24&gt;$P$10,$P$11-E24-P24,TIME(7,0,0)-P24),IF(E24&gt;$P$10,I24-E24-P24,I24-TIME(22,0,0)-P24)),"")</f>
        <v/>
      </c>
      <c r="AC24" s="44"/>
      <c r="AD24" s="68"/>
      <c r="AE24" s="44" t="str">
        <f t="shared" si="3"/>
        <v/>
      </c>
      <c r="AF24" s="44"/>
      <c r="AG24" s="64"/>
      <c r="AH24" s="152"/>
      <c r="AI24" s="106"/>
      <c r="AJ24" s="106"/>
      <c r="AK24" s="153"/>
      <c r="AL24" s="16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20" t="s">
        <v>50</v>
      </c>
      <c r="AZ24" s="21"/>
    </row>
    <row r="25" spans="1:52" ht="24" customHeight="1" x14ac:dyDescent="0.15">
      <c r="A25" s="102">
        <f t="shared" si="5"/>
        <v>43752</v>
      </c>
      <c r="B25" s="103"/>
      <c r="C25" s="104" t="str">
        <f t="shared" si="4"/>
        <v>月</v>
      </c>
      <c r="D25" s="104"/>
      <c r="E25" s="105"/>
      <c r="F25" s="106"/>
      <c r="G25" s="106"/>
      <c r="H25" s="107"/>
      <c r="I25" s="108"/>
      <c r="J25" s="106"/>
      <c r="K25" s="106"/>
      <c r="L25" s="109"/>
      <c r="M25" s="105"/>
      <c r="N25" s="106"/>
      <c r="O25" s="109"/>
      <c r="P25" s="105"/>
      <c r="Q25" s="106"/>
      <c r="R25" s="109"/>
      <c r="S25" s="62">
        <f t="shared" si="0"/>
        <v>0</v>
      </c>
      <c r="T25" s="62"/>
      <c r="U25" s="63"/>
      <c r="V25" s="61">
        <f t="shared" si="6"/>
        <v>0</v>
      </c>
      <c r="W25" s="62"/>
      <c r="X25" s="62"/>
      <c r="Y25" s="61" t="str">
        <f t="shared" si="1"/>
        <v/>
      </c>
      <c r="Z25" s="62"/>
      <c r="AA25" s="63"/>
      <c r="AB25" s="43" t="str">
        <f t="shared" ref="AB25:AB42" si="7">IF(I25&gt;$P$10,IF(I25&gt;$P$11,IF(E25&gt;$P$10,$P$11-E25-P25,TIME(7,0,0)-P25),IF(E25&gt;$P$10,I25-E25-P25,I25-TIME(22,0,0)-P25)),"")</f>
        <v/>
      </c>
      <c r="AC25" s="44"/>
      <c r="AD25" s="68"/>
      <c r="AE25" s="44" t="str">
        <f t="shared" si="3"/>
        <v/>
      </c>
      <c r="AF25" s="44"/>
      <c r="AG25" s="64"/>
      <c r="AH25" s="152"/>
      <c r="AI25" s="106"/>
      <c r="AJ25" s="106"/>
      <c r="AK25" s="153"/>
      <c r="AL25" s="16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20" t="s">
        <v>50</v>
      </c>
      <c r="AZ25" s="21"/>
    </row>
    <row r="26" spans="1:52" ht="24" customHeight="1" x14ac:dyDescent="0.15">
      <c r="A26" s="102">
        <f t="shared" si="5"/>
        <v>43753</v>
      </c>
      <c r="B26" s="103"/>
      <c r="C26" s="104" t="str">
        <f t="shared" si="4"/>
        <v>火</v>
      </c>
      <c r="D26" s="104"/>
      <c r="E26" s="105"/>
      <c r="F26" s="106"/>
      <c r="G26" s="106"/>
      <c r="H26" s="107"/>
      <c r="I26" s="108"/>
      <c r="J26" s="106"/>
      <c r="K26" s="106"/>
      <c r="L26" s="109"/>
      <c r="M26" s="105"/>
      <c r="N26" s="106"/>
      <c r="O26" s="109"/>
      <c r="P26" s="105"/>
      <c r="Q26" s="106"/>
      <c r="R26" s="109"/>
      <c r="S26" s="62">
        <f t="shared" si="0"/>
        <v>0</v>
      </c>
      <c r="T26" s="62"/>
      <c r="U26" s="63"/>
      <c r="V26" s="61">
        <f t="shared" si="6"/>
        <v>0</v>
      </c>
      <c r="W26" s="62"/>
      <c r="X26" s="62"/>
      <c r="Y26" s="61" t="str">
        <f t="shared" si="1"/>
        <v/>
      </c>
      <c r="Z26" s="62"/>
      <c r="AA26" s="63"/>
      <c r="AB26" s="43" t="str">
        <f t="shared" si="7"/>
        <v/>
      </c>
      <c r="AC26" s="44"/>
      <c r="AD26" s="68"/>
      <c r="AE26" s="44" t="str">
        <f t="shared" si="3"/>
        <v/>
      </c>
      <c r="AF26" s="44"/>
      <c r="AG26" s="64"/>
      <c r="AH26" s="152"/>
      <c r="AI26" s="106"/>
      <c r="AJ26" s="106"/>
      <c r="AK26" s="153"/>
      <c r="AL26" s="16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20" t="s">
        <v>50</v>
      </c>
      <c r="AZ26" s="21"/>
    </row>
    <row r="27" spans="1:52" ht="24" customHeight="1" x14ac:dyDescent="0.15">
      <c r="A27" s="102">
        <f t="shared" si="5"/>
        <v>43754</v>
      </c>
      <c r="B27" s="103"/>
      <c r="C27" s="104" t="str">
        <f t="shared" si="4"/>
        <v>水</v>
      </c>
      <c r="D27" s="104"/>
      <c r="E27" s="105"/>
      <c r="F27" s="106"/>
      <c r="G27" s="106"/>
      <c r="H27" s="107"/>
      <c r="I27" s="108"/>
      <c r="J27" s="106"/>
      <c r="K27" s="106"/>
      <c r="L27" s="109"/>
      <c r="M27" s="105"/>
      <c r="N27" s="106"/>
      <c r="O27" s="109"/>
      <c r="P27" s="105"/>
      <c r="Q27" s="106"/>
      <c r="R27" s="109"/>
      <c r="S27" s="62">
        <f t="shared" si="0"/>
        <v>0</v>
      </c>
      <c r="T27" s="62"/>
      <c r="U27" s="63"/>
      <c r="V27" s="61">
        <f t="shared" si="6"/>
        <v>0</v>
      </c>
      <c r="W27" s="62"/>
      <c r="X27" s="62"/>
      <c r="Y27" s="61" t="str">
        <f t="shared" si="1"/>
        <v/>
      </c>
      <c r="Z27" s="62"/>
      <c r="AA27" s="63"/>
      <c r="AB27" s="43" t="str">
        <f t="shared" si="7"/>
        <v/>
      </c>
      <c r="AC27" s="44"/>
      <c r="AD27" s="68"/>
      <c r="AE27" s="44" t="str">
        <f t="shared" si="3"/>
        <v/>
      </c>
      <c r="AF27" s="44"/>
      <c r="AG27" s="64"/>
      <c r="AH27" s="152"/>
      <c r="AI27" s="106"/>
      <c r="AJ27" s="106"/>
      <c r="AK27" s="153"/>
      <c r="AL27" s="16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20" t="s">
        <v>50</v>
      </c>
      <c r="AZ27" s="21"/>
    </row>
    <row r="28" spans="1:52" ht="24" customHeight="1" x14ac:dyDescent="0.15">
      <c r="A28" s="102">
        <f t="shared" si="5"/>
        <v>43755</v>
      </c>
      <c r="B28" s="103"/>
      <c r="C28" s="104" t="str">
        <f t="shared" si="4"/>
        <v>木</v>
      </c>
      <c r="D28" s="104"/>
      <c r="E28" s="105"/>
      <c r="F28" s="106"/>
      <c r="G28" s="106"/>
      <c r="H28" s="107"/>
      <c r="I28" s="108"/>
      <c r="J28" s="106"/>
      <c r="K28" s="106"/>
      <c r="L28" s="109"/>
      <c r="M28" s="105"/>
      <c r="N28" s="106"/>
      <c r="O28" s="109"/>
      <c r="P28" s="105"/>
      <c r="Q28" s="106"/>
      <c r="R28" s="109"/>
      <c r="S28" s="62">
        <f t="shared" si="0"/>
        <v>0</v>
      </c>
      <c r="T28" s="62"/>
      <c r="U28" s="63"/>
      <c r="V28" s="61">
        <f t="shared" si="6"/>
        <v>0</v>
      </c>
      <c r="W28" s="62"/>
      <c r="X28" s="62"/>
      <c r="Y28" s="61" t="str">
        <f t="shared" si="1"/>
        <v/>
      </c>
      <c r="Z28" s="62"/>
      <c r="AA28" s="63"/>
      <c r="AB28" s="43" t="str">
        <f t="shared" si="7"/>
        <v/>
      </c>
      <c r="AC28" s="44"/>
      <c r="AD28" s="68"/>
      <c r="AE28" s="44" t="str">
        <f t="shared" si="3"/>
        <v/>
      </c>
      <c r="AF28" s="44"/>
      <c r="AG28" s="64"/>
      <c r="AH28" s="152"/>
      <c r="AI28" s="106"/>
      <c r="AJ28" s="106"/>
      <c r="AK28" s="153"/>
      <c r="AL28" s="16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20" t="s">
        <v>50</v>
      </c>
      <c r="AZ28" s="21"/>
    </row>
    <row r="29" spans="1:52" ht="24" customHeight="1" x14ac:dyDescent="0.15">
      <c r="A29" s="102">
        <f t="shared" si="5"/>
        <v>43756</v>
      </c>
      <c r="B29" s="103"/>
      <c r="C29" s="104" t="str">
        <f t="shared" si="4"/>
        <v>金</v>
      </c>
      <c r="D29" s="104"/>
      <c r="E29" s="105"/>
      <c r="F29" s="106"/>
      <c r="G29" s="106"/>
      <c r="H29" s="107"/>
      <c r="I29" s="108"/>
      <c r="J29" s="106"/>
      <c r="K29" s="106"/>
      <c r="L29" s="109"/>
      <c r="M29" s="105"/>
      <c r="N29" s="106"/>
      <c r="O29" s="109"/>
      <c r="P29" s="105"/>
      <c r="Q29" s="106"/>
      <c r="R29" s="109"/>
      <c r="S29" s="62">
        <f t="shared" si="0"/>
        <v>0</v>
      </c>
      <c r="T29" s="62"/>
      <c r="U29" s="63"/>
      <c r="V29" s="61">
        <f t="shared" si="6"/>
        <v>0</v>
      </c>
      <c r="W29" s="62"/>
      <c r="X29" s="62"/>
      <c r="Y29" s="61" t="str">
        <f t="shared" si="1"/>
        <v/>
      </c>
      <c r="Z29" s="62"/>
      <c r="AA29" s="63"/>
      <c r="AB29" s="43" t="str">
        <f t="shared" si="7"/>
        <v/>
      </c>
      <c r="AC29" s="44"/>
      <c r="AD29" s="68"/>
      <c r="AE29" s="44" t="str">
        <f t="shared" si="3"/>
        <v/>
      </c>
      <c r="AF29" s="44"/>
      <c r="AG29" s="64"/>
      <c r="AH29" s="152"/>
      <c r="AI29" s="106"/>
      <c r="AJ29" s="106"/>
      <c r="AK29" s="153"/>
      <c r="AL29" s="16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20" t="s">
        <v>50</v>
      </c>
      <c r="AZ29" s="21"/>
    </row>
    <row r="30" spans="1:52" ht="24" customHeight="1" x14ac:dyDescent="0.15">
      <c r="A30" s="102">
        <f t="shared" si="5"/>
        <v>43757</v>
      </c>
      <c r="B30" s="103"/>
      <c r="C30" s="104" t="str">
        <f t="shared" si="4"/>
        <v>土</v>
      </c>
      <c r="D30" s="104"/>
      <c r="E30" s="105"/>
      <c r="F30" s="106"/>
      <c r="G30" s="106"/>
      <c r="H30" s="107"/>
      <c r="I30" s="108"/>
      <c r="J30" s="106"/>
      <c r="K30" s="106"/>
      <c r="L30" s="109"/>
      <c r="M30" s="105"/>
      <c r="N30" s="106"/>
      <c r="O30" s="109"/>
      <c r="P30" s="105"/>
      <c r="Q30" s="106"/>
      <c r="R30" s="109"/>
      <c r="S30" s="62">
        <f t="shared" si="0"/>
        <v>0</v>
      </c>
      <c r="T30" s="62"/>
      <c r="U30" s="63"/>
      <c r="V30" s="61">
        <f t="shared" si="6"/>
        <v>0</v>
      </c>
      <c r="W30" s="62"/>
      <c r="X30" s="62"/>
      <c r="Y30" s="61" t="str">
        <f t="shared" si="1"/>
        <v/>
      </c>
      <c r="Z30" s="62"/>
      <c r="AA30" s="63"/>
      <c r="AB30" s="43" t="str">
        <f t="shared" si="7"/>
        <v/>
      </c>
      <c r="AC30" s="44"/>
      <c r="AD30" s="68"/>
      <c r="AE30" s="44" t="str">
        <f t="shared" si="3"/>
        <v/>
      </c>
      <c r="AF30" s="44"/>
      <c r="AG30" s="64"/>
      <c r="AH30" s="152"/>
      <c r="AI30" s="106"/>
      <c r="AJ30" s="106"/>
      <c r="AK30" s="153"/>
      <c r="AL30" s="16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20" t="s">
        <v>50</v>
      </c>
      <c r="AZ30" s="21"/>
    </row>
    <row r="31" spans="1:52" ht="24" customHeight="1" x14ac:dyDescent="0.15">
      <c r="A31" s="102">
        <f t="shared" si="5"/>
        <v>43758</v>
      </c>
      <c r="B31" s="103"/>
      <c r="C31" s="104" t="str">
        <f t="shared" si="4"/>
        <v>日</v>
      </c>
      <c r="D31" s="104"/>
      <c r="E31" s="105"/>
      <c r="F31" s="106"/>
      <c r="G31" s="106"/>
      <c r="H31" s="107"/>
      <c r="I31" s="108"/>
      <c r="J31" s="106"/>
      <c r="K31" s="106"/>
      <c r="L31" s="109"/>
      <c r="M31" s="105"/>
      <c r="N31" s="106"/>
      <c r="O31" s="109"/>
      <c r="P31" s="105"/>
      <c r="Q31" s="106"/>
      <c r="R31" s="109"/>
      <c r="S31" s="62">
        <f t="shared" si="0"/>
        <v>0</v>
      </c>
      <c r="T31" s="62"/>
      <c r="U31" s="63"/>
      <c r="V31" s="61">
        <f t="shared" si="6"/>
        <v>0</v>
      </c>
      <c r="W31" s="62"/>
      <c r="X31" s="62"/>
      <c r="Y31" s="61" t="str">
        <f t="shared" si="1"/>
        <v/>
      </c>
      <c r="Z31" s="62"/>
      <c r="AA31" s="63"/>
      <c r="AB31" s="43" t="str">
        <f t="shared" si="7"/>
        <v/>
      </c>
      <c r="AC31" s="44"/>
      <c r="AD31" s="68"/>
      <c r="AE31" s="44" t="str">
        <f t="shared" si="3"/>
        <v/>
      </c>
      <c r="AF31" s="44"/>
      <c r="AG31" s="64"/>
      <c r="AH31" s="152"/>
      <c r="AI31" s="106"/>
      <c r="AJ31" s="106"/>
      <c r="AK31" s="153"/>
      <c r="AL31" s="16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20" t="s">
        <v>50</v>
      </c>
      <c r="AZ31" s="21"/>
    </row>
    <row r="32" spans="1:52" ht="24" customHeight="1" x14ac:dyDescent="0.15">
      <c r="A32" s="102">
        <f t="shared" si="5"/>
        <v>43759</v>
      </c>
      <c r="B32" s="103"/>
      <c r="C32" s="104" t="str">
        <f t="shared" si="4"/>
        <v>月</v>
      </c>
      <c r="D32" s="104"/>
      <c r="E32" s="105"/>
      <c r="F32" s="106"/>
      <c r="G32" s="106"/>
      <c r="H32" s="107"/>
      <c r="I32" s="108"/>
      <c r="J32" s="106"/>
      <c r="K32" s="106"/>
      <c r="L32" s="109"/>
      <c r="M32" s="105"/>
      <c r="N32" s="106"/>
      <c r="O32" s="109"/>
      <c r="P32" s="105"/>
      <c r="Q32" s="106"/>
      <c r="R32" s="109"/>
      <c r="S32" s="62">
        <f t="shared" si="0"/>
        <v>0</v>
      </c>
      <c r="T32" s="62"/>
      <c r="U32" s="63"/>
      <c r="V32" s="61">
        <f t="shared" si="6"/>
        <v>0</v>
      </c>
      <c r="W32" s="62"/>
      <c r="X32" s="62"/>
      <c r="Y32" s="61" t="str">
        <f t="shared" si="1"/>
        <v/>
      </c>
      <c r="Z32" s="62"/>
      <c r="AA32" s="63"/>
      <c r="AB32" s="43" t="str">
        <f t="shared" si="7"/>
        <v/>
      </c>
      <c r="AC32" s="44"/>
      <c r="AD32" s="68"/>
      <c r="AE32" s="44" t="str">
        <f t="shared" si="3"/>
        <v/>
      </c>
      <c r="AF32" s="44"/>
      <c r="AG32" s="64"/>
      <c r="AH32" s="152"/>
      <c r="AI32" s="106"/>
      <c r="AJ32" s="106"/>
      <c r="AK32" s="153"/>
      <c r="AL32" s="16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20" t="s">
        <v>50</v>
      </c>
      <c r="AZ32" s="21"/>
    </row>
    <row r="33" spans="1:52" ht="24" customHeight="1" x14ac:dyDescent="0.15">
      <c r="A33" s="102">
        <f t="shared" si="5"/>
        <v>43760</v>
      </c>
      <c r="B33" s="103"/>
      <c r="C33" s="104" t="str">
        <f t="shared" si="4"/>
        <v>火</v>
      </c>
      <c r="D33" s="104"/>
      <c r="E33" s="105"/>
      <c r="F33" s="106"/>
      <c r="G33" s="106"/>
      <c r="H33" s="107"/>
      <c r="I33" s="108"/>
      <c r="J33" s="106"/>
      <c r="K33" s="106"/>
      <c r="L33" s="109"/>
      <c r="M33" s="105"/>
      <c r="N33" s="106"/>
      <c r="O33" s="109"/>
      <c r="P33" s="105"/>
      <c r="Q33" s="106"/>
      <c r="R33" s="109"/>
      <c r="S33" s="62">
        <f t="shared" si="0"/>
        <v>0</v>
      </c>
      <c r="T33" s="62"/>
      <c r="U33" s="63"/>
      <c r="V33" s="61">
        <f t="shared" si="6"/>
        <v>0</v>
      </c>
      <c r="W33" s="62"/>
      <c r="X33" s="62"/>
      <c r="Y33" s="61" t="str">
        <f t="shared" si="1"/>
        <v/>
      </c>
      <c r="Z33" s="62"/>
      <c r="AA33" s="63"/>
      <c r="AB33" s="43" t="str">
        <f t="shared" si="7"/>
        <v/>
      </c>
      <c r="AC33" s="44"/>
      <c r="AD33" s="68"/>
      <c r="AE33" s="44" t="str">
        <f t="shared" si="3"/>
        <v/>
      </c>
      <c r="AF33" s="44"/>
      <c r="AG33" s="64"/>
      <c r="AH33" s="152"/>
      <c r="AI33" s="106"/>
      <c r="AJ33" s="106"/>
      <c r="AK33" s="153"/>
      <c r="AL33" s="16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20" t="s">
        <v>50</v>
      </c>
      <c r="AZ33" s="21"/>
    </row>
    <row r="34" spans="1:52" ht="24" customHeight="1" x14ac:dyDescent="0.15">
      <c r="A34" s="102">
        <f t="shared" si="5"/>
        <v>43761</v>
      </c>
      <c r="B34" s="103"/>
      <c r="C34" s="104" t="str">
        <f t="shared" si="4"/>
        <v>水</v>
      </c>
      <c r="D34" s="104"/>
      <c r="E34" s="105"/>
      <c r="F34" s="106"/>
      <c r="G34" s="106"/>
      <c r="H34" s="107"/>
      <c r="I34" s="108"/>
      <c r="J34" s="106"/>
      <c r="K34" s="106"/>
      <c r="L34" s="109"/>
      <c r="M34" s="105"/>
      <c r="N34" s="106"/>
      <c r="O34" s="109"/>
      <c r="P34" s="105"/>
      <c r="Q34" s="106"/>
      <c r="R34" s="109"/>
      <c r="S34" s="62">
        <f t="shared" si="0"/>
        <v>0</v>
      </c>
      <c r="T34" s="62"/>
      <c r="U34" s="63"/>
      <c r="V34" s="61">
        <f t="shared" si="6"/>
        <v>0</v>
      </c>
      <c r="W34" s="62"/>
      <c r="X34" s="62"/>
      <c r="Y34" s="61" t="str">
        <f t="shared" si="1"/>
        <v/>
      </c>
      <c r="Z34" s="62"/>
      <c r="AA34" s="63"/>
      <c r="AB34" s="43" t="str">
        <f t="shared" si="7"/>
        <v/>
      </c>
      <c r="AC34" s="44"/>
      <c r="AD34" s="68"/>
      <c r="AE34" s="44" t="str">
        <f t="shared" si="3"/>
        <v/>
      </c>
      <c r="AF34" s="44"/>
      <c r="AG34" s="64"/>
      <c r="AH34" s="152"/>
      <c r="AI34" s="106"/>
      <c r="AJ34" s="106"/>
      <c r="AK34" s="153"/>
      <c r="AL34" s="16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20" t="s">
        <v>50</v>
      </c>
      <c r="AZ34" s="21"/>
    </row>
    <row r="35" spans="1:52" ht="24" customHeight="1" x14ac:dyDescent="0.15">
      <c r="A35" s="102">
        <f t="shared" si="5"/>
        <v>43762</v>
      </c>
      <c r="B35" s="103"/>
      <c r="C35" s="104" t="str">
        <f t="shared" si="4"/>
        <v>木</v>
      </c>
      <c r="D35" s="104"/>
      <c r="E35" s="105"/>
      <c r="F35" s="106"/>
      <c r="G35" s="106"/>
      <c r="H35" s="107"/>
      <c r="I35" s="108"/>
      <c r="J35" s="106"/>
      <c r="K35" s="106"/>
      <c r="L35" s="109"/>
      <c r="M35" s="105"/>
      <c r="N35" s="106"/>
      <c r="O35" s="109"/>
      <c r="P35" s="105"/>
      <c r="Q35" s="106"/>
      <c r="R35" s="109"/>
      <c r="S35" s="62">
        <f t="shared" si="0"/>
        <v>0</v>
      </c>
      <c r="T35" s="62"/>
      <c r="U35" s="63"/>
      <c r="V35" s="61">
        <f t="shared" si="6"/>
        <v>0</v>
      </c>
      <c r="W35" s="62"/>
      <c r="X35" s="62"/>
      <c r="Y35" s="61" t="str">
        <f t="shared" si="1"/>
        <v/>
      </c>
      <c r="Z35" s="62"/>
      <c r="AA35" s="63"/>
      <c r="AB35" s="43" t="str">
        <f t="shared" si="7"/>
        <v/>
      </c>
      <c r="AC35" s="44"/>
      <c r="AD35" s="68"/>
      <c r="AE35" s="44" t="str">
        <f t="shared" si="3"/>
        <v/>
      </c>
      <c r="AF35" s="44"/>
      <c r="AG35" s="64"/>
      <c r="AH35" s="152"/>
      <c r="AI35" s="106"/>
      <c r="AJ35" s="106"/>
      <c r="AK35" s="153"/>
      <c r="AL35" s="16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20" t="s">
        <v>50</v>
      </c>
      <c r="AZ35" s="21"/>
    </row>
    <row r="36" spans="1:52" ht="24" customHeight="1" x14ac:dyDescent="0.15">
      <c r="A36" s="102">
        <f t="shared" si="5"/>
        <v>43763</v>
      </c>
      <c r="B36" s="103"/>
      <c r="C36" s="104" t="str">
        <f t="shared" si="4"/>
        <v>金</v>
      </c>
      <c r="D36" s="104"/>
      <c r="E36" s="105"/>
      <c r="F36" s="106"/>
      <c r="G36" s="106"/>
      <c r="H36" s="107"/>
      <c r="I36" s="108"/>
      <c r="J36" s="106"/>
      <c r="K36" s="106"/>
      <c r="L36" s="109"/>
      <c r="M36" s="105"/>
      <c r="N36" s="106"/>
      <c r="O36" s="109"/>
      <c r="P36" s="105"/>
      <c r="Q36" s="106"/>
      <c r="R36" s="109"/>
      <c r="S36" s="62">
        <f t="shared" si="0"/>
        <v>0</v>
      </c>
      <c r="T36" s="62"/>
      <c r="U36" s="63"/>
      <c r="V36" s="61">
        <f t="shared" si="6"/>
        <v>0</v>
      </c>
      <c r="W36" s="62"/>
      <c r="X36" s="62"/>
      <c r="Y36" s="61" t="str">
        <f t="shared" si="1"/>
        <v/>
      </c>
      <c r="Z36" s="62"/>
      <c r="AA36" s="63"/>
      <c r="AB36" s="43" t="str">
        <f t="shared" si="7"/>
        <v/>
      </c>
      <c r="AC36" s="44"/>
      <c r="AD36" s="68"/>
      <c r="AE36" s="44" t="str">
        <f t="shared" si="3"/>
        <v/>
      </c>
      <c r="AF36" s="44"/>
      <c r="AG36" s="64"/>
      <c r="AH36" s="152"/>
      <c r="AI36" s="106"/>
      <c r="AJ36" s="106"/>
      <c r="AK36" s="153"/>
      <c r="AL36" s="16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20" t="s">
        <v>50</v>
      </c>
      <c r="AZ36" s="21"/>
    </row>
    <row r="37" spans="1:52" ht="24" customHeight="1" x14ac:dyDescent="0.15">
      <c r="A37" s="102">
        <f t="shared" si="5"/>
        <v>43764</v>
      </c>
      <c r="B37" s="103"/>
      <c r="C37" s="104" t="str">
        <f t="shared" si="4"/>
        <v>土</v>
      </c>
      <c r="D37" s="104"/>
      <c r="E37" s="105"/>
      <c r="F37" s="106"/>
      <c r="G37" s="106"/>
      <c r="H37" s="107"/>
      <c r="I37" s="108"/>
      <c r="J37" s="106"/>
      <c r="K37" s="106"/>
      <c r="L37" s="109"/>
      <c r="M37" s="105"/>
      <c r="N37" s="106"/>
      <c r="O37" s="109"/>
      <c r="P37" s="105"/>
      <c r="Q37" s="106"/>
      <c r="R37" s="109"/>
      <c r="S37" s="62">
        <f t="shared" si="0"/>
        <v>0</v>
      </c>
      <c r="T37" s="62"/>
      <c r="U37" s="63"/>
      <c r="V37" s="61">
        <f t="shared" si="6"/>
        <v>0</v>
      </c>
      <c r="W37" s="62"/>
      <c r="X37" s="62"/>
      <c r="Y37" s="61" t="str">
        <f t="shared" si="1"/>
        <v/>
      </c>
      <c r="Z37" s="62"/>
      <c r="AA37" s="63"/>
      <c r="AB37" s="43" t="str">
        <f t="shared" si="7"/>
        <v/>
      </c>
      <c r="AC37" s="44"/>
      <c r="AD37" s="68"/>
      <c r="AE37" s="44" t="str">
        <f t="shared" si="3"/>
        <v/>
      </c>
      <c r="AF37" s="44"/>
      <c r="AG37" s="64"/>
      <c r="AH37" s="152"/>
      <c r="AI37" s="106"/>
      <c r="AJ37" s="106"/>
      <c r="AK37" s="153"/>
      <c r="AL37" s="16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20" t="s">
        <v>50</v>
      </c>
      <c r="AZ37" s="21"/>
    </row>
    <row r="38" spans="1:52" ht="24" customHeight="1" x14ac:dyDescent="0.15">
      <c r="A38" s="102">
        <f t="shared" si="5"/>
        <v>43765</v>
      </c>
      <c r="B38" s="103"/>
      <c r="C38" s="104" t="str">
        <f t="shared" si="4"/>
        <v>日</v>
      </c>
      <c r="D38" s="104"/>
      <c r="E38" s="105"/>
      <c r="F38" s="106"/>
      <c r="G38" s="106"/>
      <c r="H38" s="107"/>
      <c r="I38" s="108"/>
      <c r="J38" s="106"/>
      <c r="K38" s="106"/>
      <c r="L38" s="109"/>
      <c r="M38" s="105"/>
      <c r="N38" s="106"/>
      <c r="O38" s="109"/>
      <c r="P38" s="105"/>
      <c r="Q38" s="106"/>
      <c r="R38" s="109"/>
      <c r="S38" s="62">
        <f t="shared" si="0"/>
        <v>0</v>
      </c>
      <c r="T38" s="62"/>
      <c r="U38" s="63"/>
      <c r="V38" s="61">
        <f t="shared" si="6"/>
        <v>0</v>
      </c>
      <c r="W38" s="62"/>
      <c r="X38" s="62"/>
      <c r="Y38" s="61" t="str">
        <f t="shared" si="1"/>
        <v/>
      </c>
      <c r="Z38" s="62"/>
      <c r="AA38" s="63"/>
      <c r="AB38" s="43" t="str">
        <f t="shared" si="7"/>
        <v/>
      </c>
      <c r="AC38" s="44"/>
      <c r="AD38" s="68"/>
      <c r="AE38" s="44" t="str">
        <f t="shared" si="3"/>
        <v/>
      </c>
      <c r="AF38" s="44"/>
      <c r="AG38" s="64"/>
      <c r="AH38" s="152"/>
      <c r="AI38" s="106"/>
      <c r="AJ38" s="106"/>
      <c r="AK38" s="153"/>
      <c r="AL38" s="16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20" t="s">
        <v>50</v>
      </c>
      <c r="AZ38" s="21"/>
    </row>
    <row r="39" spans="1:52" ht="24" customHeight="1" x14ac:dyDescent="0.15">
      <c r="A39" s="102">
        <f t="shared" si="5"/>
        <v>43766</v>
      </c>
      <c r="B39" s="103"/>
      <c r="C39" s="104" t="str">
        <f t="shared" si="4"/>
        <v>月</v>
      </c>
      <c r="D39" s="104"/>
      <c r="E39" s="105"/>
      <c r="F39" s="106"/>
      <c r="G39" s="106"/>
      <c r="H39" s="107"/>
      <c r="I39" s="108"/>
      <c r="J39" s="106"/>
      <c r="K39" s="106"/>
      <c r="L39" s="109"/>
      <c r="M39" s="105"/>
      <c r="N39" s="106"/>
      <c r="O39" s="109"/>
      <c r="P39" s="105"/>
      <c r="Q39" s="106"/>
      <c r="R39" s="109"/>
      <c r="S39" s="62">
        <f t="shared" si="0"/>
        <v>0</v>
      </c>
      <c r="T39" s="62"/>
      <c r="U39" s="63"/>
      <c r="V39" s="61">
        <f t="shared" si="6"/>
        <v>0</v>
      </c>
      <c r="W39" s="62"/>
      <c r="X39" s="62"/>
      <c r="Y39" s="61" t="str">
        <f t="shared" si="1"/>
        <v/>
      </c>
      <c r="Z39" s="62"/>
      <c r="AA39" s="63"/>
      <c r="AB39" s="43" t="str">
        <f t="shared" si="7"/>
        <v/>
      </c>
      <c r="AC39" s="44"/>
      <c r="AD39" s="68"/>
      <c r="AE39" s="44" t="str">
        <f t="shared" si="3"/>
        <v/>
      </c>
      <c r="AF39" s="44"/>
      <c r="AG39" s="64"/>
      <c r="AH39" s="152"/>
      <c r="AI39" s="106"/>
      <c r="AJ39" s="106"/>
      <c r="AK39" s="153"/>
      <c r="AL39" s="16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20" t="s">
        <v>50</v>
      </c>
      <c r="AZ39" s="21"/>
    </row>
    <row r="40" spans="1:52" ht="24" customHeight="1" x14ac:dyDescent="0.15">
      <c r="A40" s="102">
        <f t="shared" si="5"/>
        <v>43767</v>
      </c>
      <c r="B40" s="103"/>
      <c r="C40" s="104" t="str">
        <f t="shared" si="4"/>
        <v>火</v>
      </c>
      <c r="D40" s="104"/>
      <c r="E40" s="105"/>
      <c r="F40" s="106"/>
      <c r="G40" s="106"/>
      <c r="H40" s="107"/>
      <c r="I40" s="108"/>
      <c r="J40" s="106"/>
      <c r="K40" s="106"/>
      <c r="L40" s="109"/>
      <c r="M40" s="105"/>
      <c r="N40" s="106"/>
      <c r="O40" s="109"/>
      <c r="P40" s="105"/>
      <c r="Q40" s="106"/>
      <c r="R40" s="109"/>
      <c r="S40" s="62">
        <f t="shared" si="0"/>
        <v>0</v>
      </c>
      <c r="T40" s="62"/>
      <c r="U40" s="63"/>
      <c r="V40" s="61">
        <f t="shared" si="6"/>
        <v>0</v>
      </c>
      <c r="W40" s="62"/>
      <c r="X40" s="62"/>
      <c r="Y40" s="61" t="str">
        <f t="shared" si="1"/>
        <v/>
      </c>
      <c r="Z40" s="62"/>
      <c r="AA40" s="63"/>
      <c r="AB40" s="43" t="str">
        <f t="shared" si="7"/>
        <v/>
      </c>
      <c r="AC40" s="44"/>
      <c r="AD40" s="68"/>
      <c r="AE40" s="44" t="str">
        <f t="shared" si="3"/>
        <v/>
      </c>
      <c r="AF40" s="44"/>
      <c r="AG40" s="64"/>
      <c r="AH40" s="152"/>
      <c r="AI40" s="106"/>
      <c r="AJ40" s="106"/>
      <c r="AK40" s="153"/>
      <c r="AL40" s="16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20" t="s">
        <v>50</v>
      </c>
      <c r="AZ40" s="21"/>
    </row>
    <row r="41" spans="1:52" ht="24" customHeight="1" x14ac:dyDescent="0.15">
      <c r="A41" s="102">
        <f t="shared" si="5"/>
        <v>43768</v>
      </c>
      <c r="B41" s="103"/>
      <c r="C41" s="104" t="str">
        <f t="shared" si="4"/>
        <v>水</v>
      </c>
      <c r="D41" s="104"/>
      <c r="E41" s="105"/>
      <c r="F41" s="106"/>
      <c r="G41" s="106"/>
      <c r="H41" s="107"/>
      <c r="I41" s="108"/>
      <c r="J41" s="106"/>
      <c r="K41" s="106"/>
      <c r="L41" s="109"/>
      <c r="M41" s="105"/>
      <c r="N41" s="106"/>
      <c r="O41" s="109"/>
      <c r="P41" s="105"/>
      <c r="Q41" s="106"/>
      <c r="R41" s="109"/>
      <c r="S41" s="62">
        <f t="shared" si="0"/>
        <v>0</v>
      </c>
      <c r="T41" s="62"/>
      <c r="U41" s="63"/>
      <c r="V41" s="61">
        <f t="shared" si="6"/>
        <v>0</v>
      </c>
      <c r="W41" s="62"/>
      <c r="X41" s="62"/>
      <c r="Y41" s="61" t="str">
        <f t="shared" si="1"/>
        <v/>
      </c>
      <c r="Z41" s="62"/>
      <c r="AA41" s="63"/>
      <c r="AB41" s="43" t="str">
        <f t="shared" si="7"/>
        <v/>
      </c>
      <c r="AC41" s="44"/>
      <c r="AD41" s="68"/>
      <c r="AE41" s="44" t="str">
        <f t="shared" si="3"/>
        <v/>
      </c>
      <c r="AF41" s="44"/>
      <c r="AG41" s="64"/>
      <c r="AH41" s="152"/>
      <c r="AI41" s="106"/>
      <c r="AJ41" s="106"/>
      <c r="AK41" s="153"/>
      <c r="AL41" s="16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20" t="s">
        <v>50</v>
      </c>
      <c r="AZ41" s="21"/>
    </row>
    <row r="42" spans="1:52" ht="24" customHeight="1" thickBot="1" x14ac:dyDescent="0.2">
      <c r="A42" s="102">
        <f t="shared" si="5"/>
        <v>43769</v>
      </c>
      <c r="B42" s="103"/>
      <c r="C42" s="144" t="str">
        <f t="shared" si="4"/>
        <v>木</v>
      </c>
      <c r="D42" s="145"/>
      <c r="E42" s="105"/>
      <c r="F42" s="106"/>
      <c r="G42" s="106"/>
      <c r="H42" s="107"/>
      <c r="I42" s="108"/>
      <c r="J42" s="106"/>
      <c r="K42" s="106"/>
      <c r="L42" s="109"/>
      <c r="M42" s="105"/>
      <c r="N42" s="106"/>
      <c r="O42" s="109"/>
      <c r="P42" s="105"/>
      <c r="Q42" s="106"/>
      <c r="R42" s="109"/>
      <c r="S42" s="62">
        <f t="shared" si="0"/>
        <v>0</v>
      </c>
      <c r="T42" s="62"/>
      <c r="U42" s="63"/>
      <c r="V42" s="140">
        <f t="shared" si="6"/>
        <v>0</v>
      </c>
      <c r="W42" s="141"/>
      <c r="X42" s="141"/>
      <c r="Y42" s="61" t="str">
        <f t="shared" si="1"/>
        <v/>
      </c>
      <c r="Z42" s="62"/>
      <c r="AA42" s="63"/>
      <c r="AB42" s="43" t="str">
        <f t="shared" si="7"/>
        <v/>
      </c>
      <c r="AC42" s="44"/>
      <c r="AD42" s="68"/>
      <c r="AE42" s="44" t="str">
        <f t="shared" si="3"/>
        <v/>
      </c>
      <c r="AF42" s="44"/>
      <c r="AG42" s="64"/>
      <c r="AH42" s="154"/>
      <c r="AI42" s="137"/>
      <c r="AJ42" s="137"/>
      <c r="AK42" s="155"/>
      <c r="AL42" s="18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42" t="s">
        <v>50</v>
      </c>
      <c r="AZ42" s="143"/>
    </row>
    <row r="43" spans="1:52" ht="27" customHeight="1" thickBot="1" x14ac:dyDescent="0.2">
      <c r="A43" s="126" t="s">
        <v>41</v>
      </c>
      <c r="B43" s="127"/>
      <c r="C43" s="127"/>
      <c r="D43" s="127"/>
      <c r="E43" s="127"/>
      <c r="F43" s="127"/>
      <c r="G43" s="127"/>
      <c r="H43" s="127"/>
      <c r="I43" s="127"/>
      <c r="J43" s="127"/>
      <c r="K43" s="127"/>
      <c r="L43" s="127"/>
      <c r="M43" s="127"/>
      <c r="N43" s="127"/>
      <c r="O43" s="127"/>
      <c r="P43" s="127"/>
      <c r="Q43" s="127"/>
      <c r="R43" s="127"/>
      <c r="S43" s="122">
        <f>SUM(S12:U42)</f>
        <v>0</v>
      </c>
      <c r="T43" s="123"/>
      <c r="U43" s="124"/>
      <c r="V43" s="122" t="str">
        <f>IF(SUM(V12:V42)=0,"",SUM(V12:V42))</f>
        <v/>
      </c>
      <c r="W43" s="123"/>
      <c r="X43" s="123"/>
      <c r="Y43" s="122" t="str">
        <f>IF(SUM(Y12:Y42)=0,"",SUM(Y12:Y42))</f>
        <v/>
      </c>
      <c r="Z43" s="123"/>
      <c r="AA43" s="124"/>
      <c r="AB43" s="122" t="str">
        <f>IF(SUM(AB12:AB42)=0,"",SUM(AB12:AB42))</f>
        <v/>
      </c>
      <c r="AC43" s="123"/>
      <c r="AD43" s="124"/>
      <c r="AE43" s="123" t="str">
        <f>IF(SUM(AE12:AE42)=0,"",SUM(AE12:AE42))</f>
        <v/>
      </c>
      <c r="AF43" s="123"/>
      <c r="AG43" s="125"/>
      <c r="AH43" s="128"/>
      <c r="AI43" s="129"/>
      <c r="AJ43" s="129"/>
      <c r="AK43" s="130"/>
      <c r="AL43" s="131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3"/>
    </row>
    <row r="44" spans="1:52" ht="27" customHeight="1" thickBot="1" x14ac:dyDescent="0.2">
      <c r="A44" s="126" t="s">
        <v>40</v>
      </c>
      <c r="B44" s="127"/>
      <c r="C44" s="127"/>
      <c r="D44" s="127"/>
      <c r="E44" s="127"/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27"/>
      <c r="R44" s="127"/>
      <c r="S44" s="134"/>
      <c r="T44" s="135"/>
      <c r="U44" s="135"/>
      <c r="V44" s="135"/>
      <c r="W44" s="135"/>
      <c r="X44" s="135"/>
      <c r="Y44" s="122" t="s">
        <v>42</v>
      </c>
      <c r="Z44" s="123"/>
      <c r="AA44" s="123"/>
      <c r="AB44" s="123"/>
      <c r="AC44" s="123"/>
      <c r="AD44" s="123"/>
      <c r="AE44" s="123"/>
      <c r="AF44" s="123"/>
      <c r="AG44" s="125"/>
      <c r="AH44" s="128" t="str">
        <f>IFERROR(TEXT(ABS(V43-S44),IF(S44&gt;V43,"-[h]:mm","[h]:mm")),"")</f>
        <v/>
      </c>
      <c r="AI44" s="129"/>
      <c r="AJ44" s="129"/>
      <c r="AK44" s="130"/>
      <c r="AL44" s="131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3"/>
    </row>
  </sheetData>
  <sheetProtection algorithmName="SHA-512" hashValue="ZE5B7qcHsEZN6upaxyiH/ExEC6Yx0QMiUXCL5t1o8Pq33kBHQWltx3xX/AMzJt3QRGuq2Mg5xSld6sUFLIIQ3A==" saltValue="on6F4mvTaMmf0tt/H/qnIA==" spinCount="100000" sheet="1" selectLockedCells="1"/>
  <mergeCells count="488">
    <mergeCell ref="A40:B40"/>
    <mergeCell ref="C40:D40"/>
    <mergeCell ref="A44:R44"/>
    <mergeCell ref="AH44:AK44"/>
    <mergeCell ref="AL44:AZ44"/>
    <mergeCell ref="S44:X44"/>
    <mergeCell ref="Y44:AG44"/>
    <mergeCell ref="A43:R43"/>
    <mergeCell ref="S43:U43"/>
    <mergeCell ref="V43:X43"/>
    <mergeCell ref="Y43:AA43"/>
    <mergeCell ref="AB43:AD43"/>
    <mergeCell ref="AE43:AG43"/>
    <mergeCell ref="AH43:AK43"/>
    <mergeCell ref="AL43:AZ43"/>
    <mergeCell ref="S42:U42"/>
    <mergeCell ref="V42:X42"/>
    <mergeCell ref="Y42:AA42"/>
    <mergeCell ref="AB42:AD42"/>
    <mergeCell ref="AE42:AG42"/>
    <mergeCell ref="AH42:AK42"/>
    <mergeCell ref="A42:B42"/>
    <mergeCell ref="C42:D42"/>
    <mergeCell ref="E42:H42"/>
    <mergeCell ref="M42:O42"/>
    <mergeCell ref="P42:R42"/>
    <mergeCell ref="Y41:AA41"/>
    <mergeCell ref="AB41:AD41"/>
    <mergeCell ref="AE41:AG41"/>
    <mergeCell ref="AH41:AK41"/>
    <mergeCell ref="A41:B41"/>
    <mergeCell ref="C41:D41"/>
    <mergeCell ref="E41:H41"/>
    <mergeCell ref="I41:L41"/>
    <mergeCell ref="M41:O41"/>
    <mergeCell ref="P41:R41"/>
    <mergeCell ref="S41:U41"/>
    <mergeCell ref="V41:X41"/>
    <mergeCell ref="I42:L42"/>
    <mergeCell ref="AL38:AX38"/>
    <mergeCell ref="AL39:AX39"/>
    <mergeCell ref="E40:H40"/>
    <mergeCell ref="I40:L40"/>
    <mergeCell ref="M40:O40"/>
    <mergeCell ref="P40:R40"/>
    <mergeCell ref="Y39:AA39"/>
    <mergeCell ref="AB39:AD39"/>
    <mergeCell ref="AE39:AG39"/>
    <mergeCell ref="AH39:AK39"/>
    <mergeCell ref="AL40:AX40"/>
    <mergeCell ref="S40:U40"/>
    <mergeCell ref="V40:X40"/>
    <mergeCell ref="Y40:AA40"/>
    <mergeCell ref="AB40:AD40"/>
    <mergeCell ref="AE40:AG40"/>
    <mergeCell ref="AH40:AK40"/>
    <mergeCell ref="P39:R39"/>
    <mergeCell ref="S39:U39"/>
    <mergeCell ref="V39:X39"/>
    <mergeCell ref="S38:U38"/>
    <mergeCell ref="V38:X38"/>
    <mergeCell ref="Y38:AA38"/>
    <mergeCell ref="AB38:AD38"/>
    <mergeCell ref="AE38:AG38"/>
    <mergeCell ref="AH38:AK38"/>
    <mergeCell ref="P38:R38"/>
    <mergeCell ref="A36:B36"/>
    <mergeCell ref="C36:D36"/>
    <mergeCell ref="E36:H36"/>
    <mergeCell ref="I36:L36"/>
    <mergeCell ref="A39:B39"/>
    <mergeCell ref="C39:D39"/>
    <mergeCell ref="E39:H39"/>
    <mergeCell ref="I39:L39"/>
    <mergeCell ref="M39:O39"/>
    <mergeCell ref="A38:B38"/>
    <mergeCell ref="C38:D38"/>
    <mergeCell ref="E38:H38"/>
    <mergeCell ref="I38:L38"/>
    <mergeCell ref="M38:O38"/>
    <mergeCell ref="Y37:AA37"/>
    <mergeCell ref="AB37:AD37"/>
    <mergeCell ref="AE37:AG37"/>
    <mergeCell ref="AH37:AK37"/>
    <mergeCell ref="A37:B37"/>
    <mergeCell ref="C37:D37"/>
    <mergeCell ref="E37:H37"/>
    <mergeCell ref="I37:L37"/>
    <mergeCell ref="M37:O37"/>
    <mergeCell ref="P37:R37"/>
    <mergeCell ref="S37:U37"/>
    <mergeCell ref="V37:X37"/>
    <mergeCell ref="A35:B35"/>
    <mergeCell ref="C35:D35"/>
    <mergeCell ref="E35:H35"/>
    <mergeCell ref="I35:L35"/>
    <mergeCell ref="M35:O35"/>
    <mergeCell ref="P35:R35"/>
    <mergeCell ref="S35:U35"/>
    <mergeCell ref="V35:X35"/>
    <mergeCell ref="V34:X34"/>
    <mergeCell ref="A34:B34"/>
    <mergeCell ref="C34:D34"/>
    <mergeCell ref="E34:H34"/>
    <mergeCell ref="I34:L34"/>
    <mergeCell ref="M34:O34"/>
    <mergeCell ref="P34:R34"/>
    <mergeCell ref="Y33:AA33"/>
    <mergeCell ref="A33:B33"/>
    <mergeCell ref="C33:D33"/>
    <mergeCell ref="E33:H33"/>
    <mergeCell ref="I33:L33"/>
    <mergeCell ref="AB33:AD33"/>
    <mergeCell ref="AE33:AG33"/>
    <mergeCell ref="AH33:AK33"/>
    <mergeCell ref="M36:O36"/>
    <mergeCell ref="P36:R36"/>
    <mergeCell ref="Y35:AA35"/>
    <mergeCell ref="AB35:AD35"/>
    <mergeCell ref="AE35:AG35"/>
    <mergeCell ref="AH35:AK35"/>
    <mergeCell ref="Y34:AA34"/>
    <mergeCell ref="AB34:AD34"/>
    <mergeCell ref="AE34:AG34"/>
    <mergeCell ref="AH34:AK34"/>
    <mergeCell ref="S36:U36"/>
    <mergeCell ref="V36:X36"/>
    <mergeCell ref="Y36:AA36"/>
    <mergeCell ref="AB36:AD36"/>
    <mergeCell ref="AE36:AG36"/>
    <mergeCell ref="AH36:AK36"/>
    <mergeCell ref="M33:O33"/>
    <mergeCell ref="P33:R33"/>
    <mergeCell ref="S33:U33"/>
    <mergeCell ref="V33:X33"/>
    <mergeCell ref="S34:U34"/>
    <mergeCell ref="Y32:AA32"/>
    <mergeCell ref="AB32:AD32"/>
    <mergeCell ref="AE32:AG32"/>
    <mergeCell ref="AH32:AK32"/>
    <mergeCell ref="A32:B32"/>
    <mergeCell ref="C32:D32"/>
    <mergeCell ref="E32:H32"/>
    <mergeCell ref="I32:L32"/>
    <mergeCell ref="M32:O32"/>
    <mergeCell ref="P32:R32"/>
    <mergeCell ref="S32:U32"/>
    <mergeCell ref="V32:X32"/>
    <mergeCell ref="A28:B28"/>
    <mergeCell ref="C28:D28"/>
    <mergeCell ref="Y31:AA31"/>
    <mergeCell ref="AB31:AD31"/>
    <mergeCell ref="AE31:AG31"/>
    <mergeCell ref="AH31:AK31"/>
    <mergeCell ref="A31:B31"/>
    <mergeCell ref="C31:D31"/>
    <mergeCell ref="E31:H31"/>
    <mergeCell ref="I31:L31"/>
    <mergeCell ref="M31:O31"/>
    <mergeCell ref="P31:R31"/>
    <mergeCell ref="S31:U31"/>
    <mergeCell ref="V31:X31"/>
    <mergeCell ref="S30:U30"/>
    <mergeCell ref="V30:X30"/>
    <mergeCell ref="Y30:AA30"/>
    <mergeCell ref="AB30:AD30"/>
    <mergeCell ref="AE30:AG30"/>
    <mergeCell ref="AH30:AK30"/>
    <mergeCell ref="A30:B30"/>
    <mergeCell ref="C30:D30"/>
    <mergeCell ref="E30:H30"/>
    <mergeCell ref="I30:L30"/>
    <mergeCell ref="M30:O30"/>
    <mergeCell ref="P30:R30"/>
    <mergeCell ref="Y29:AA29"/>
    <mergeCell ref="AB29:AD29"/>
    <mergeCell ref="AE29:AG29"/>
    <mergeCell ref="AH29:AK29"/>
    <mergeCell ref="A29:B29"/>
    <mergeCell ref="C29:D29"/>
    <mergeCell ref="E29:H29"/>
    <mergeCell ref="I29:L29"/>
    <mergeCell ref="M29:O29"/>
    <mergeCell ref="P29:R29"/>
    <mergeCell ref="S29:U29"/>
    <mergeCell ref="V29:X29"/>
    <mergeCell ref="E28:H28"/>
    <mergeCell ref="I28:L28"/>
    <mergeCell ref="M28:O28"/>
    <mergeCell ref="P28:R28"/>
    <mergeCell ref="Y27:AA27"/>
    <mergeCell ref="AB27:AD27"/>
    <mergeCell ref="AE27:AG27"/>
    <mergeCell ref="AH27:AK27"/>
    <mergeCell ref="AL28:AX28"/>
    <mergeCell ref="S28:U28"/>
    <mergeCell ref="V28:X28"/>
    <mergeCell ref="Y28:AA28"/>
    <mergeCell ref="AB28:AD28"/>
    <mergeCell ref="AE28:AG28"/>
    <mergeCell ref="AH28:AK28"/>
    <mergeCell ref="P27:R27"/>
    <mergeCell ref="S27:U27"/>
    <mergeCell ref="V27:X27"/>
    <mergeCell ref="S26:U26"/>
    <mergeCell ref="V26:X26"/>
    <mergeCell ref="Y26:AA26"/>
    <mergeCell ref="AB26:AD26"/>
    <mergeCell ref="AE26:AG26"/>
    <mergeCell ref="AH26:AK26"/>
    <mergeCell ref="P26:R26"/>
    <mergeCell ref="A24:B24"/>
    <mergeCell ref="C24:D24"/>
    <mergeCell ref="E24:H24"/>
    <mergeCell ref="I24:L24"/>
    <mergeCell ref="Y25:AA25"/>
    <mergeCell ref="AB25:AD25"/>
    <mergeCell ref="AE25:AG25"/>
    <mergeCell ref="AH25:AK25"/>
    <mergeCell ref="A25:B25"/>
    <mergeCell ref="C25:D25"/>
    <mergeCell ref="E25:H25"/>
    <mergeCell ref="I25:L25"/>
    <mergeCell ref="M25:O25"/>
    <mergeCell ref="P25:R25"/>
    <mergeCell ref="S25:U25"/>
    <mergeCell ref="V25:X25"/>
    <mergeCell ref="A27:B27"/>
    <mergeCell ref="C27:D27"/>
    <mergeCell ref="E27:H27"/>
    <mergeCell ref="I27:L27"/>
    <mergeCell ref="M27:O27"/>
    <mergeCell ref="A26:B26"/>
    <mergeCell ref="C26:D26"/>
    <mergeCell ref="E26:H26"/>
    <mergeCell ref="I26:L26"/>
    <mergeCell ref="M26:O26"/>
    <mergeCell ref="A23:B23"/>
    <mergeCell ref="C23:D23"/>
    <mergeCell ref="E23:H23"/>
    <mergeCell ref="I23:L23"/>
    <mergeCell ref="M23:O23"/>
    <mergeCell ref="P23:R23"/>
    <mergeCell ref="S23:U23"/>
    <mergeCell ref="V23:X23"/>
    <mergeCell ref="S22:U22"/>
    <mergeCell ref="V22:X22"/>
    <mergeCell ref="A22:B22"/>
    <mergeCell ref="C22:D22"/>
    <mergeCell ref="E22:H22"/>
    <mergeCell ref="I22:L22"/>
    <mergeCell ref="M22:O22"/>
    <mergeCell ref="P22:R22"/>
    <mergeCell ref="Y21:AA21"/>
    <mergeCell ref="AB21:AD21"/>
    <mergeCell ref="AE21:AG21"/>
    <mergeCell ref="AH21:AK21"/>
    <mergeCell ref="M24:O24"/>
    <mergeCell ref="P24:R24"/>
    <mergeCell ref="Y23:AA23"/>
    <mergeCell ref="AB23:AD23"/>
    <mergeCell ref="AE23:AG23"/>
    <mergeCell ref="AH23:AK23"/>
    <mergeCell ref="Y22:AA22"/>
    <mergeCell ref="AB22:AD22"/>
    <mergeCell ref="AE22:AG22"/>
    <mergeCell ref="AH22:AK22"/>
    <mergeCell ref="S24:U24"/>
    <mergeCell ref="V24:X24"/>
    <mergeCell ref="Y24:AA24"/>
    <mergeCell ref="AB24:AD24"/>
    <mergeCell ref="AE24:AG24"/>
    <mergeCell ref="AH24:AK24"/>
    <mergeCell ref="Y20:AA20"/>
    <mergeCell ref="AB20:AD20"/>
    <mergeCell ref="AE20:AG20"/>
    <mergeCell ref="AH20:AK20"/>
    <mergeCell ref="A20:B20"/>
    <mergeCell ref="C20:D20"/>
    <mergeCell ref="E20:H20"/>
    <mergeCell ref="I20:L20"/>
    <mergeCell ref="M20:O20"/>
    <mergeCell ref="P20:R20"/>
    <mergeCell ref="A21:B21"/>
    <mergeCell ref="C21:D21"/>
    <mergeCell ref="E21:H21"/>
    <mergeCell ref="I21:L21"/>
    <mergeCell ref="M21:O21"/>
    <mergeCell ref="P21:R21"/>
    <mergeCell ref="S21:U21"/>
    <mergeCell ref="V21:X21"/>
    <mergeCell ref="S20:U20"/>
    <mergeCell ref="V20:X20"/>
    <mergeCell ref="V18:X18"/>
    <mergeCell ref="Y18:AA18"/>
    <mergeCell ref="AB18:AD18"/>
    <mergeCell ref="AE18:AG18"/>
    <mergeCell ref="AH18:AK18"/>
    <mergeCell ref="A18:B18"/>
    <mergeCell ref="C18:D18"/>
    <mergeCell ref="E18:H18"/>
    <mergeCell ref="I18:L18"/>
    <mergeCell ref="Y19:AA19"/>
    <mergeCell ref="AB19:AD19"/>
    <mergeCell ref="AE19:AG19"/>
    <mergeCell ref="AH19:AK19"/>
    <mergeCell ref="A19:B19"/>
    <mergeCell ref="C19:D19"/>
    <mergeCell ref="E19:H19"/>
    <mergeCell ref="I19:L19"/>
    <mergeCell ref="M19:O19"/>
    <mergeCell ref="P19:R19"/>
    <mergeCell ref="S19:U19"/>
    <mergeCell ref="V19:X19"/>
    <mergeCell ref="AH15:AK15"/>
    <mergeCell ref="M18:O18"/>
    <mergeCell ref="P18:R18"/>
    <mergeCell ref="Y17:AA17"/>
    <mergeCell ref="AB17:AD17"/>
    <mergeCell ref="AE17:AG17"/>
    <mergeCell ref="AH17:AK17"/>
    <mergeCell ref="A17:B17"/>
    <mergeCell ref="C17:D17"/>
    <mergeCell ref="E17:H17"/>
    <mergeCell ref="I17:L17"/>
    <mergeCell ref="M17:O17"/>
    <mergeCell ref="P17:R17"/>
    <mergeCell ref="S17:U17"/>
    <mergeCell ref="V17:X17"/>
    <mergeCell ref="S16:U16"/>
    <mergeCell ref="V16:X16"/>
    <mergeCell ref="Y16:AA16"/>
    <mergeCell ref="AB16:AD16"/>
    <mergeCell ref="AE16:AG16"/>
    <mergeCell ref="AH16:AK16"/>
    <mergeCell ref="A16:B16"/>
    <mergeCell ref="C16:D16"/>
    <mergeCell ref="S18:U18"/>
    <mergeCell ref="M14:O14"/>
    <mergeCell ref="P14:R14"/>
    <mergeCell ref="E16:H16"/>
    <mergeCell ref="I16:L16"/>
    <mergeCell ref="M16:O16"/>
    <mergeCell ref="P16:R16"/>
    <mergeCell ref="Y15:AA15"/>
    <mergeCell ref="AB15:AD15"/>
    <mergeCell ref="AE15:AG15"/>
    <mergeCell ref="AE12:AG12"/>
    <mergeCell ref="AH12:AK12"/>
    <mergeCell ref="A12:B12"/>
    <mergeCell ref="C12:D12"/>
    <mergeCell ref="E12:H12"/>
    <mergeCell ref="I12:L12"/>
    <mergeCell ref="A15:B15"/>
    <mergeCell ref="C15:D15"/>
    <mergeCell ref="E15:H15"/>
    <mergeCell ref="I15:L15"/>
    <mergeCell ref="M15:O15"/>
    <mergeCell ref="P15:R15"/>
    <mergeCell ref="S15:U15"/>
    <mergeCell ref="V15:X15"/>
    <mergeCell ref="S14:U14"/>
    <mergeCell ref="V14:X14"/>
    <mergeCell ref="Y14:AA14"/>
    <mergeCell ref="AB14:AD14"/>
    <mergeCell ref="AE14:AG14"/>
    <mergeCell ref="AH14:AK14"/>
    <mergeCell ref="A14:B14"/>
    <mergeCell ref="C14:D14"/>
    <mergeCell ref="E14:H14"/>
    <mergeCell ref="I14:L14"/>
    <mergeCell ref="Y13:AA13"/>
    <mergeCell ref="AB13:AD13"/>
    <mergeCell ref="AE13:AG13"/>
    <mergeCell ref="AH13:AK13"/>
    <mergeCell ref="A13:B13"/>
    <mergeCell ref="C13:D13"/>
    <mergeCell ref="E13:H13"/>
    <mergeCell ref="I13:L13"/>
    <mergeCell ref="M13:O13"/>
    <mergeCell ref="P13:R13"/>
    <mergeCell ref="S13:U13"/>
    <mergeCell ref="V13:X13"/>
    <mergeCell ref="M12:O12"/>
    <mergeCell ref="P12:R12"/>
    <mergeCell ref="AE9:AG11"/>
    <mergeCell ref="AH9:AK11"/>
    <mergeCell ref="A10:B11"/>
    <mergeCell ref="C10:D11"/>
    <mergeCell ref="E10:H10"/>
    <mergeCell ref="I10:L10"/>
    <mergeCell ref="M10:O10"/>
    <mergeCell ref="P10:R10"/>
    <mergeCell ref="A9:D9"/>
    <mergeCell ref="M9:R9"/>
    <mergeCell ref="S9:U11"/>
    <mergeCell ref="V9:X11"/>
    <mergeCell ref="Y9:AA11"/>
    <mergeCell ref="AB9:AD11"/>
    <mergeCell ref="E11:H11"/>
    <mergeCell ref="I11:L11"/>
    <mergeCell ref="M11:O11"/>
    <mergeCell ref="P11:R11"/>
    <mergeCell ref="S12:U12"/>
    <mergeCell ref="V12:X12"/>
    <mergeCell ref="Y12:AA12"/>
    <mergeCell ref="AB12:AD12"/>
    <mergeCell ref="A5:F5"/>
    <mergeCell ref="G5:X5"/>
    <mergeCell ref="AL5:AP5"/>
    <mergeCell ref="AQ5:AW5"/>
    <mergeCell ref="AX5:AZ5"/>
    <mergeCell ref="A6:F6"/>
    <mergeCell ref="G6:X6"/>
    <mergeCell ref="AL6:AP6"/>
    <mergeCell ref="AQ6:AW6"/>
    <mergeCell ref="AX6:AZ6"/>
    <mergeCell ref="A2:I2"/>
    <mergeCell ref="AL2:AP2"/>
    <mergeCell ref="AQ2:AU2"/>
    <mergeCell ref="AV2:AZ2"/>
    <mergeCell ref="A3:I3"/>
    <mergeCell ref="AL3:AP3"/>
    <mergeCell ref="AQ3:AU3"/>
    <mergeCell ref="AV3:AZ3"/>
    <mergeCell ref="K3:AK3"/>
    <mergeCell ref="BA9:BB11"/>
    <mergeCell ref="BA12:BB12"/>
    <mergeCell ref="AL9:AX11"/>
    <mergeCell ref="AL12:AX12"/>
    <mergeCell ref="AL13:AX13"/>
    <mergeCell ref="AL14:AX14"/>
    <mergeCell ref="AL15:AX15"/>
    <mergeCell ref="AL16:AX16"/>
    <mergeCell ref="AL17:AX17"/>
    <mergeCell ref="AL31:AX31"/>
    <mergeCell ref="AL32:AX32"/>
    <mergeCell ref="AL33:AX33"/>
    <mergeCell ref="AL34:AX34"/>
    <mergeCell ref="AL35:AX35"/>
    <mergeCell ref="AL36:AX36"/>
    <mergeCell ref="AL37:AX37"/>
    <mergeCell ref="AL18:AX18"/>
    <mergeCell ref="AL19:AX19"/>
    <mergeCell ref="AL20:AX20"/>
    <mergeCell ref="AL21:AX21"/>
    <mergeCell ref="AL22:AX22"/>
    <mergeCell ref="AL23:AX23"/>
    <mergeCell ref="AL24:AX24"/>
    <mergeCell ref="AL25:AX25"/>
    <mergeCell ref="AL26:AX26"/>
    <mergeCell ref="AL27:AX27"/>
    <mergeCell ref="AL41:AX41"/>
    <mergeCell ref="AL42:AX42"/>
    <mergeCell ref="AY9:AZ11"/>
    <mergeCell ref="AY12:AZ12"/>
    <mergeCell ref="AY13:AZ13"/>
    <mergeCell ref="AY14:AZ14"/>
    <mergeCell ref="AY15:AZ15"/>
    <mergeCell ref="AY16:AZ16"/>
    <mergeCell ref="AY17:AZ17"/>
    <mergeCell ref="AY18:AZ18"/>
    <mergeCell ref="AY19:AZ19"/>
    <mergeCell ref="AY20:AZ20"/>
    <mergeCell ref="AY21:AZ21"/>
    <mergeCell ref="AY22:AZ22"/>
    <mergeCell ref="AY23:AZ23"/>
    <mergeCell ref="AY24:AZ24"/>
    <mergeCell ref="AY25:AZ25"/>
    <mergeCell ref="AY26:AZ26"/>
    <mergeCell ref="AY27:AZ27"/>
    <mergeCell ref="AY28:AZ28"/>
    <mergeCell ref="AY29:AZ29"/>
    <mergeCell ref="AY30:AZ30"/>
    <mergeCell ref="AL29:AX29"/>
    <mergeCell ref="AL30:AX30"/>
    <mergeCell ref="AY41:AZ41"/>
    <mergeCell ref="AY42:AZ42"/>
    <mergeCell ref="AY31:AZ31"/>
    <mergeCell ref="AY32:AZ32"/>
    <mergeCell ref="AY33:AZ33"/>
    <mergeCell ref="AY34:AZ34"/>
    <mergeCell ref="AY35:AZ35"/>
    <mergeCell ref="AY36:AZ36"/>
    <mergeCell ref="AY37:AZ37"/>
    <mergeCell ref="AY38:AZ38"/>
    <mergeCell ref="AY39:AZ39"/>
    <mergeCell ref="AY40:AZ40"/>
  </mergeCells>
  <phoneticPr fontId="1"/>
  <conditionalFormatting sqref="AY12:AY42 P12:AA16 AB12:AL23 A24:H24 P19:AA20 S17:AA18 A12:D23 S21:AA22 A26:AL27 A25:D25 S25:AL25 A33:AL34 A28:D32 S28:AL32 A35:D42 S35:AL42 P23:AA23 P24:AL24">
    <cfRule type="expression" dxfId="253" priority="268">
      <formula>$AH12="シフト休"</formula>
    </cfRule>
    <cfRule type="expression" dxfId="252" priority="269">
      <formula>$AH12="シフト出勤"</formula>
    </cfRule>
    <cfRule type="expression" dxfId="251" priority="270">
      <formula>$AH12="欠勤"</formula>
    </cfRule>
    <cfRule type="expression" dxfId="250" priority="271">
      <formula>$AH12="有給"</formula>
    </cfRule>
    <cfRule type="expression" dxfId="249" priority="272">
      <formula>$AH12="代休"</formula>
    </cfRule>
    <cfRule type="expression" dxfId="248" priority="273">
      <formula>$AH12="休日出勤"</formula>
    </cfRule>
  </conditionalFormatting>
  <conditionalFormatting sqref="AY12:AY42 P12:AA16 AB12:AL23 A24:H24 P19:AA20 S17:AA18 A12:D23 S21:AA22 A26:AL27 A25:D25 S25:AL25 A33:AL34 A28:D32 S28:AL32 A35:D42 S35:AL42 P23:AA23 P24:AL24">
    <cfRule type="expression" dxfId="247" priority="274">
      <formula>$AH12="祝日"</formula>
    </cfRule>
    <cfRule type="expression" dxfId="246" priority="275">
      <formula>$C12="日"</formula>
    </cfRule>
    <cfRule type="expression" dxfId="245" priority="276">
      <formula>$C12="土"</formula>
    </cfRule>
  </conditionalFormatting>
  <conditionalFormatting sqref="P12:AA16 AB12:AZ23 A24:H24 P19:AA20 S17:AA18 A12:D23 S21:AA22 A26:AZ27 A25:D25 S25:AZ25 A33:AZ34 A28:D32 S28:AZ32 A35:D42 S35:AZ42 P23:AA23 P24:AZ24">
    <cfRule type="expression" dxfId="244" priority="267">
      <formula>$AH12="特別休業"</formula>
    </cfRule>
    <cfRule type="expression" dxfId="243" priority="266">
      <formula>$AH12="慶弔休暇"</formula>
    </cfRule>
  </conditionalFormatting>
  <conditionalFormatting sqref="E12:O13">
    <cfRule type="expression" dxfId="242" priority="257">
      <formula>$AH12="シフト休"</formula>
    </cfRule>
    <cfRule type="expression" dxfId="241" priority="258">
      <formula>$AH12="シフト出勤"</formula>
    </cfRule>
    <cfRule type="expression" dxfId="240" priority="259">
      <formula>$AH12="欠勤"</formula>
    </cfRule>
    <cfRule type="expression" dxfId="239" priority="260">
      <formula>$AH12="有給"</formula>
    </cfRule>
    <cfRule type="expression" dxfId="238" priority="261">
      <formula>$AH12="代休"</formula>
    </cfRule>
    <cfRule type="expression" dxfId="237" priority="262">
      <formula>$AH12="休日出勤"</formula>
    </cfRule>
  </conditionalFormatting>
  <conditionalFormatting sqref="E12:O13">
    <cfRule type="expression" dxfId="236" priority="263">
      <formula>$AH12="祝日"</formula>
    </cfRule>
    <cfRule type="expression" dxfId="235" priority="264">
      <formula>$C12="日"</formula>
    </cfRule>
    <cfRule type="expression" dxfId="234" priority="265">
      <formula>$C12="土"</formula>
    </cfRule>
  </conditionalFormatting>
  <conditionalFormatting sqref="E12:O13">
    <cfRule type="expression" dxfId="233" priority="255">
      <formula>$AH12="慶弔休暇"</formula>
    </cfRule>
    <cfRule type="expression" dxfId="232" priority="256">
      <formula>$AH12="特別休暇"</formula>
    </cfRule>
  </conditionalFormatting>
  <conditionalFormatting sqref="P17:R18">
    <cfRule type="expression" dxfId="231" priority="246">
      <formula>$AH17="シフト休"</formula>
    </cfRule>
    <cfRule type="expression" dxfId="230" priority="247">
      <formula>$AH17="シフト出勤"</formula>
    </cfRule>
    <cfRule type="expression" dxfId="229" priority="248">
      <formula>$AH17="欠勤"</formula>
    </cfRule>
    <cfRule type="expression" dxfId="228" priority="249">
      <formula>$AH17="有給"</formula>
    </cfRule>
    <cfRule type="expression" dxfId="227" priority="250">
      <formula>$AH17="代休"</formula>
    </cfRule>
    <cfRule type="expression" dxfId="226" priority="251">
      <formula>$AH17="休日出勤"</formula>
    </cfRule>
  </conditionalFormatting>
  <conditionalFormatting sqref="P17:R18">
    <cfRule type="expression" dxfId="225" priority="252">
      <formula>$AH17="祝日"</formula>
    </cfRule>
    <cfRule type="expression" dxfId="224" priority="253">
      <formula>$C17="日"</formula>
    </cfRule>
    <cfRule type="expression" dxfId="223" priority="254">
      <formula>$C17="土"</formula>
    </cfRule>
  </conditionalFormatting>
  <conditionalFormatting sqref="P17:R18">
    <cfRule type="expression" dxfId="222" priority="244">
      <formula>$AH17="慶弔休暇"</formula>
    </cfRule>
    <cfRule type="expression" dxfId="221" priority="245">
      <formula>$AH17="特別休業"</formula>
    </cfRule>
  </conditionalFormatting>
  <conditionalFormatting sqref="P21:R22">
    <cfRule type="expression" dxfId="220" priority="224">
      <formula>$AH21="シフト休"</formula>
    </cfRule>
    <cfRule type="expression" dxfId="219" priority="225">
      <formula>$AH21="シフト出勤"</formula>
    </cfRule>
    <cfRule type="expression" dxfId="218" priority="226">
      <formula>$AH21="欠勤"</formula>
    </cfRule>
    <cfRule type="expression" dxfId="217" priority="227">
      <formula>$AH21="有給"</formula>
    </cfRule>
    <cfRule type="expression" dxfId="216" priority="228">
      <formula>$AH21="代休"</formula>
    </cfRule>
    <cfRule type="expression" dxfId="215" priority="229">
      <formula>$AH21="休日出勤"</formula>
    </cfRule>
  </conditionalFormatting>
  <conditionalFormatting sqref="P21:R22">
    <cfRule type="expression" dxfId="214" priority="230">
      <formula>$AH21="祝日"</formula>
    </cfRule>
    <cfRule type="expression" dxfId="213" priority="231">
      <formula>$C21="日"</formula>
    </cfRule>
    <cfRule type="expression" dxfId="212" priority="232">
      <formula>$C21="土"</formula>
    </cfRule>
  </conditionalFormatting>
  <conditionalFormatting sqref="P21:R22">
    <cfRule type="expression" dxfId="211" priority="222">
      <formula>$AH21="慶弔休暇"</formula>
    </cfRule>
    <cfRule type="expression" dxfId="210" priority="223">
      <formula>$AH21="特別休業"</formula>
    </cfRule>
  </conditionalFormatting>
  <conditionalFormatting sqref="P25:R25">
    <cfRule type="expression" dxfId="209" priority="202">
      <formula>$AH25="シフト休"</formula>
    </cfRule>
    <cfRule type="expression" dxfId="208" priority="203">
      <formula>$AH25="シフト出勤"</formula>
    </cfRule>
    <cfRule type="expression" dxfId="207" priority="204">
      <formula>$AH25="欠勤"</formula>
    </cfRule>
    <cfRule type="expression" dxfId="206" priority="205">
      <formula>$AH25="有給"</formula>
    </cfRule>
    <cfRule type="expression" dxfId="205" priority="206">
      <formula>$AH25="代休"</formula>
    </cfRule>
    <cfRule type="expression" dxfId="204" priority="207">
      <formula>$AH25="休日出勤"</formula>
    </cfRule>
  </conditionalFormatting>
  <conditionalFormatting sqref="P25:R25">
    <cfRule type="expression" dxfId="203" priority="208">
      <formula>$AH25="祝日"</formula>
    </cfRule>
    <cfRule type="expression" dxfId="202" priority="209">
      <formula>$C25="日"</formula>
    </cfRule>
    <cfRule type="expression" dxfId="201" priority="210">
      <formula>$C25="土"</formula>
    </cfRule>
  </conditionalFormatting>
  <conditionalFormatting sqref="P25:R25">
    <cfRule type="expression" dxfId="200" priority="200">
      <formula>$AH25="慶弔休暇"</formula>
    </cfRule>
    <cfRule type="expression" dxfId="199" priority="201">
      <formula>$AH25="特別休業"</formula>
    </cfRule>
  </conditionalFormatting>
  <conditionalFormatting sqref="E25:O25">
    <cfRule type="expression" dxfId="198" priority="191">
      <formula>$AH25="シフト休"</formula>
    </cfRule>
    <cfRule type="expression" dxfId="197" priority="192">
      <formula>$AH25="シフト出勤"</formula>
    </cfRule>
    <cfRule type="expression" dxfId="196" priority="193">
      <formula>$AH25="欠勤"</formula>
    </cfRule>
    <cfRule type="expression" dxfId="195" priority="194">
      <formula>$AH25="有給"</formula>
    </cfRule>
    <cfRule type="expression" dxfId="194" priority="195">
      <formula>$AH25="代休"</formula>
    </cfRule>
    <cfRule type="expression" dxfId="193" priority="196">
      <formula>$AH25="休日出勤"</formula>
    </cfRule>
  </conditionalFormatting>
  <conditionalFormatting sqref="E25:O25">
    <cfRule type="expression" dxfId="192" priority="197">
      <formula>$AH25="祝日"</formula>
    </cfRule>
    <cfRule type="expression" dxfId="191" priority="198">
      <formula>$C25="日"</formula>
    </cfRule>
    <cfRule type="expression" dxfId="190" priority="199">
      <formula>$C25="土"</formula>
    </cfRule>
  </conditionalFormatting>
  <conditionalFormatting sqref="E25:O25">
    <cfRule type="expression" dxfId="189" priority="189">
      <formula>$AH25="慶弔休暇"</formula>
    </cfRule>
    <cfRule type="expression" dxfId="188" priority="190">
      <formula>$AH25="特別休暇"</formula>
    </cfRule>
  </conditionalFormatting>
  <conditionalFormatting sqref="E30:R31">
    <cfRule type="expression" dxfId="187" priority="180">
      <formula>$AH30="シフト休"</formula>
    </cfRule>
    <cfRule type="expression" dxfId="186" priority="181">
      <formula>$AH30="シフト出勤"</formula>
    </cfRule>
    <cfRule type="expression" dxfId="185" priority="182">
      <formula>$AH30="欠勤"</formula>
    </cfRule>
    <cfRule type="expression" dxfId="184" priority="183">
      <formula>$AH30="有給"</formula>
    </cfRule>
    <cfRule type="expression" dxfId="183" priority="184">
      <formula>$AH30="代休"</formula>
    </cfRule>
    <cfRule type="expression" dxfId="182" priority="185">
      <formula>$AH30="休日出勤"</formula>
    </cfRule>
  </conditionalFormatting>
  <conditionalFormatting sqref="E30:R31">
    <cfRule type="expression" dxfId="181" priority="186">
      <formula>$AH30="祝日"</formula>
    </cfRule>
    <cfRule type="expression" dxfId="180" priority="187">
      <formula>$C30="日"</formula>
    </cfRule>
    <cfRule type="expression" dxfId="179" priority="188">
      <formula>$C30="土"</formula>
    </cfRule>
  </conditionalFormatting>
  <conditionalFormatting sqref="E30:R31">
    <cfRule type="expression" dxfId="178" priority="178">
      <formula>$AH30="慶弔休暇"</formula>
    </cfRule>
    <cfRule type="expression" dxfId="177" priority="179">
      <formula>$AH30="特別休業"</formula>
    </cfRule>
  </conditionalFormatting>
  <conditionalFormatting sqref="P28:R29">
    <cfRule type="expression" dxfId="176" priority="169">
      <formula>$AH28="シフト休"</formula>
    </cfRule>
    <cfRule type="expression" dxfId="175" priority="170">
      <formula>$AH28="シフト出勤"</formula>
    </cfRule>
    <cfRule type="expression" dxfId="174" priority="171">
      <formula>$AH28="欠勤"</formula>
    </cfRule>
    <cfRule type="expression" dxfId="173" priority="172">
      <formula>$AH28="有給"</formula>
    </cfRule>
    <cfRule type="expression" dxfId="172" priority="173">
      <formula>$AH28="代休"</formula>
    </cfRule>
    <cfRule type="expression" dxfId="171" priority="174">
      <formula>$AH28="休日出勤"</formula>
    </cfRule>
  </conditionalFormatting>
  <conditionalFormatting sqref="P28:R29">
    <cfRule type="expression" dxfId="170" priority="175">
      <formula>$AH28="祝日"</formula>
    </cfRule>
    <cfRule type="expression" dxfId="169" priority="176">
      <formula>$C28="日"</formula>
    </cfRule>
    <cfRule type="expression" dxfId="168" priority="177">
      <formula>$C28="土"</formula>
    </cfRule>
  </conditionalFormatting>
  <conditionalFormatting sqref="P28:R29">
    <cfRule type="expression" dxfId="167" priority="167">
      <formula>$AH28="慶弔休暇"</formula>
    </cfRule>
    <cfRule type="expression" dxfId="166" priority="168">
      <formula>$AH28="特別休業"</formula>
    </cfRule>
  </conditionalFormatting>
  <conditionalFormatting sqref="E28:O29">
    <cfRule type="expression" dxfId="165" priority="158">
      <formula>$AH28="シフト休"</formula>
    </cfRule>
    <cfRule type="expression" dxfId="164" priority="159">
      <formula>$AH28="シフト出勤"</formula>
    </cfRule>
    <cfRule type="expression" dxfId="163" priority="160">
      <formula>$AH28="欠勤"</formula>
    </cfRule>
    <cfRule type="expression" dxfId="162" priority="161">
      <formula>$AH28="有給"</formula>
    </cfRule>
    <cfRule type="expression" dxfId="161" priority="162">
      <formula>$AH28="代休"</formula>
    </cfRule>
    <cfRule type="expression" dxfId="160" priority="163">
      <formula>$AH28="休日出勤"</formula>
    </cfRule>
  </conditionalFormatting>
  <conditionalFormatting sqref="E28:O29">
    <cfRule type="expression" dxfId="159" priority="164">
      <formula>$AH28="祝日"</formula>
    </cfRule>
    <cfRule type="expression" dxfId="158" priority="165">
      <formula>$C28="日"</formula>
    </cfRule>
    <cfRule type="expression" dxfId="157" priority="166">
      <formula>$C28="土"</formula>
    </cfRule>
  </conditionalFormatting>
  <conditionalFormatting sqref="E28:O29">
    <cfRule type="expression" dxfId="156" priority="156">
      <formula>$AH28="慶弔休暇"</formula>
    </cfRule>
    <cfRule type="expression" dxfId="155" priority="157">
      <formula>$AH28="特別休暇"</formula>
    </cfRule>
  </conditionalFormatting>
  <conditionalFormatting sqref="P32:R32">
    <cfRule type="expression" dxfId="154" priority="147">
      <formula>$AH32="シフト休"</formula>
    </cfRule>
    <cfRule type="expression" dxfId="153" priority="148">
      <formula>$AH32="シフト出勤"</formula>
    </cfRule>
    <cfRule type="expression" dxfId="152" priority="149">
      <formula>$AH32="欠勤"</formula>
    </cfRule>
    <cfRule type="expression" dxfId="151" priority="150">
      <formula>$AH32="有給"</formula>
    </cfRule>
    <cfRule type="expression" dxfId="150" priority="151">
      <formula>$AH32="代休"</formula>
    </cfRule>
    <cfRule type="expression" dxfId="149" priority="152">
      <formula>$AH32="休日出勤"</formula>
    </cfRule>
  </conditionalFormatting>
  <conditionalFormatting sqref="P32:R32">
    <cfRule type="expression" dxfId="148" priority="153">
      <formula>$AH32="祝日"</formula>
    </cfRule>
    <cfRule type="expression" dxfId="147" priority="154">
      <formula>$C32="日"</formula>
    </cfRule>
    <cfRule type="expression" dxfId="146" priority="155">
      <formula>$C32="土"</formula>
    </cfRule>
  </conditionalFormatting>
  <conditionalFormatting sqref="P32:R32">
    <cfRule type="expression" dxfId="145" priority="145">
      <formula>$AH32="慶弔休暇"</formula>
    </cfRule>
    <cfRule type="expression" dxfId="144" priority="146">
      <formula>$AH32="特別休業"</formula>
    </cfRule>
  </conditionalFormatting>
  <conditionalFormatting sqref="E32:O32">
    <cfRule type="expression" dxfId="143" priority="136">
      <formula>$AH32="シフト休"</formula>
    </cfRule>
    <cfRule type="expression" dxfId="142" priority="137">
      <formula>$AH32="シフト出勤"</formula>
    </cfRule>
    <cfRule type="expression" dxfId="141" priority="138">
      <formula>$AH32="欠勤"</formula>
    </cfRule>
    <cfRule type="expression" dxfId="140" priority="139">
      <formula>$AH32="有給"</formula>
    </cfRule>
    <cfRule type="expression" dxfId="139" priority="140">
      <formula>$AH32="代休"</formula>
    </cfRule>
    <cfRule type="expression" dxfId="138" priority="141">
      <formula>$AH32="休日出勤"</formula>
    </cfRule>
  </conditionalFormatting>
  <conditionalFormatting sqref="E32:O32">
    <cfRule type="expression" dxfId="137" priority="142">
      <formula>$AH32="祝日"</formula>
    </cfRule>
    <cfRule type="expression" dxfId="136" priority="143">
      <formula>$C32="日"</formula>
    </cfRule>
    <cfRule type="expression" dxfId="135" priority="144">
      <formula>$C32="土"</formula>
    </cfRule>
  </conditionalFormatting>
  <conditionalFormatting sqref="E32:O32">
    <cfRule type="expression" dxfId="134" priority="134">
      <formula>$AH32="慶弔休暇"</formula>
    </cfRule>
    <cfRule type="expression" dxfId="133" priority="135">
      <formula>$AH32="特別休暇"</formula>
    </cfRule>
  </conditionalFormatting>
  <conditionalFormatting sqref="E37:R38">
    <cfRule type="expression" dxfId="132" priority="125">
      <formula>$AH37="シフト休"</formula>
    </cfRule>
    <cfRule type="expression" dxfId="131" priority="126">
      <formula>$AH37="シフト出勤"</formula>
    </cfRule>
    <cfRule type="expression" dxfId="130" priority="127">
      <formula>$AH37="欠勤"</formula>
    </cfRule>
    <cfRule type="expression" dxfId="129" priority="128">
      <formula>$AH37="有給"</formula>
    </cfRule>
    <cfRule type="expression" dxfId="128" priority="129">
      <formula>$AH37="代休"</formula>
    </cfRule>
    <cfRule type="expression" dxfId="127" priority="130">
      <formula>$AH37="休日出勤"</formula>
    </cfRule>
  </conditionalFormatting>
  <conditionalFormatting sqref="E37:R38">
    <cfRule type="expression" dxfId="126" priority="131">
      <formula>$AH37="祝日"</formula>
    </cfRule>
    <cfRule type="expression" dxfId="125" priority="132">
      <formula>$C37="日"</formula>
    </cfRule>
    <cfRule type="expression" dxfId="124" priority="133">
      <formula>$C37="土"</formula>
    </cfRule>
  </conditionalFormatting>
  <conditionalFormatting sqref="E37:R38">
    <cfRule type="expression" dxfId="123" priority="123">
      <formula>$AH37="慶弔休暇"</formula>
    </cfRule>
    <cfRule type="expression" dxfId="122" priority="124">
      <formula>$AH37="特別休業"</formula>
    </cfRule>
  </conditionalFormatting>
  <conditionalFormatting sqref="P35:R36">
    <cfRule type="expression" dxfId="121" priority="114">
      <formula>$AH35="シフト休"</formula>
    </cfRule>
    <cfRule type="expression" dxfId="120" priority="115">
      <formula>$AH35="シフト出勤"</formula>
    </cfRule>
    <cfRule type="expression" dxfId="119" priority="116">
      <formula>$AH35="欠勤"</formula>
    </cfRule>
    <cfRule type="expression" dxfId="118" priority="117">
      <formula>$AH35="有給"</formula>
    </cfRule>
    <cfRule type="expression" dxfId="117" priority="118">
      <formula>$AH35="代休"</formula>
    </cfRule>
    <cfRule type="expression" dxfId="116" priority="119">
      <formula>$AH35="休日出勤"</formula>
    </cfRule>
  </conditionalFormatting>
  <conditionalFormatting sqref="P35:R36">
    <cfRule type="expression" dxfId="115" priority="120">
      <formula>$AH35="祝日"</formula>
    </cfRule>
    <cfRule type="expression" dxfId="114" priority="121">
      <formula>$C35="日"</formula>
    </cfRule>
    <cfRule type="expression" dxfId="113" priority="122">
      <formula>$C35="土"</formula>
    </cfRule>
  </conditionalFormatting>
  <conditionalFormatting sqref="P35:R36">
    <cfRule type="expression" dxfId="112" priority="112">
      <formula>$AH35="慶弔休暇"</formula>
    </cfRule>
    <cfRule type="expression" dxfId="111" priority="113">
      <formula>$AH35="特別休業"</formula>
    </cfRule>
  </conditionalFormatting>
  <conditionalFormatting sqref="E35:O36">
    <cfRule type="expression" dxfId="110" priority="103">
      <formula>$AH35="シフト休"</formula>
    </cfRule>
    <cfRule type="expression" dxfId="109" priority="104">
      <formula>$AH35="シフト出勤"</formula>
    </cfRule>
    <cfRule type="expression" dxfId="108" priority="105">
      <formula>$AH35="欠勤"</formula>
    </cfRule>
    <cfRule type="expression" dxfId="107" priority="106">
      <formula>$AH35="有給"</formula>
    </cfRule>
    <cfRule type="expression" dxfId="106" priority="107">
      <formula>$AH35="代休"</formula>
    </cfRule>
    <cfRule type="expression" dxfId="105" priority="108">
      <formula>$AH35="休日出勤"</formula>
    </cfRule>
  </conditionalFormatting>
  <conditionalFormatting sqref="E35:O36">
    <cfRule type="expression" dxfId="104" priority="109">
      <formula>$AH35="祝日"</formula>
    </cfRule>
    <cfRule type="expression" dxfId="103" priority="110">
      <formula>$C35="日"</formula>
    </cfRule>
    <cfRule type="expression" dxfId="102" priority="111">
      <formula>$C35="土"</formula>
    </cfRule>
  </conditionalFormatting>
  <conditionalFormatting sqref="E35:O36">
    <cfRule type="expression" dxfId="101" priority="101">
      <formula>$AH35="慶弔休暇"</formula>
    </cfRule>
    <cfRule type="expression" dxfId="100" priority="102">
      <formula>$AH35="特別休暇"</formula>
    </cfRule>
  </conditionalFormatting>
  <conditionalFormatting sqref="P39:R39">
    <cfRule type="expression" dxfId="99" priority="92">
      <formula>$AH39="シフト休"</formula>
    </cfRule>
    <cfRule type="expression" dxfId="98" priority="93">
      <formula>$AH39="シフト出勤"</formula>
    </cfRule>
    <cfRule type="expression" dxfId="97" priority="94">
      <formula>$AH39="欠勤"</formula>
    </cfRule>
    <cfRule type="expression" dxfId="96" priority="95">
      <formula>$AH39="有給"</formula>
    </cfRule>
    <cfRule type="expression" dxfId="95" priority="96">
      <formula>$AH39="代休"</formula>
    </cfRule>
    <cfRule type="expression" dxfId="94" priority="97">
      <formula>$AH39="休日出勤"</formula>
    </cfRule>
  </conditionalFormatting>
  <conditionalFormatting sqref="P39:R39">
    <cfRule type="expression" dxfId="93" priority="98">
      <formula>$AH39="祝日"</formula>
    </cfRule>
    <cfRule type="expression" dxfId="92" priority="99">
      <formula>$C39="日"</formula>
    </cfRule>
    <cfRule type="expression" dxfId="91" priority="100">
      <formula>$C39="土"</formula>
    </cfRule>
  </conditionalFormatting>
  <conditionalFormatting sqref="P39:R39">
    <cfRule type="expression" dxfId="90" priority="90">
      <formula>$AH39="慶弔休暇"</formula>
    </cfRule>
    <cfRule type="expression" dxfId="89" priority="91">
      <formula>$AH39="特別休業"</formula>
    </cfRule>
  </conditionalFormatting>
  <conditionalFormatting sqref="E39:O39">
    <cfRule type="expression" dxfId="88" priority="81">
      <formula>$AH39="シフト休"</formula>
    </cfRule>
    <cfRule type="expression" dxfId="87" priority="82">
      <formula>$AH39="シフト出勤"</formula>
    </cfRule>
    <cfRule type="expression" dxfId="86" priority="83">
      <formula>$AH39="欠勤"</formula>
    </cfRule>
    <cfRule type="expression" dxfId="85" priority="84">
      <formula>$AH39="有給"</formula>
    </cfRule>
    <cfRule type="expression" dxfId="84" priority="85">
      <formula>$AH39="代休"</formula>
    </cfRule>
    <cfRule type="expression" dxfId="83" priority="86">
      <formula>$AH39="休日出勤"</formula>
    </cfRule>
  </conditionalFormatting>
  <conditionalFormatting sqref="E39:O39">
    <cfRule type="expression" dxfId="82" priority="87">
      <formula>$AH39="祝日"</formula>
    </cfRule>
    <cfRule type="expression" dxfId="81" priority="88">
      <formula>$C39="日"</formula>
    </cfRule>
    <cfRule type="expression" dxfId="80" priority="89">
      <formula>$C39="土"</formula>
    </cfRule>
  </conditionalFormatting>
  <conditionalFormatting sqref="E39:O39">
    <cfRule type="expression" dxfId="79" priority="79">
      <formula>$AH39="慶弔休暇"</formula>
    </cfRule>
    <cfRule type="expression" dxfId="78" priority="80">
      <formula>$AH39="特別休暇"</formula>
    </cfRule>
  </conditionalFormatting>
  <conditionalFormatting sqref="P40:R41">
    <cfRule type="expression" dxfId="77" priority="70">
      <formula>$AH40="シフト休"</formula>
    </cfRule>
    <cfRule type="expression" dxfId="76" priority="71">
      <formula>$AH40="シフト出勤"</formula>
    </cfRule>
    <cfRule type="expression" dxfId="75" priority="72">
      <formula>$AH40="欠勤"</formula>
    </cfRule>
    <cfRule type="expression" dxfId="74" priority="73">
      <formula>$AH40="有給"</formula>
    </cfRule>
    <cfRule type="expression" dxfId="73" priority="74">
      <formula>$AH40="代休"</formula>
    </cfRule>
    <cfRule type="expression" dxfId="72" priority="75">
      <formula>$AH40="休日出勤"</formula>
    </cfRule>
  </conditionalFormatting>
  <conditionalFormatting sqref="P40:R41">
    <cfRule type="expression" dxfId="71" priority="76">
      <formula>$AH40="祝日"</formula>
    </cfRule>
    <cfRule type="expression" dxfId="70" priority="77">
      <formula>$C40="日"</formula>
    </cfRule>
    <cfRule type="expression" dxfId="69" priority="78">
      <formula>$C40="土"</formula>
    </cfRule>
  </conditionalFormatting>
  <conditionalFormatting sqref="P40:R41">
    <cfRule type="expression" dxfId="68" priority="68">
      <formula>$AH40="慶弔休暇"</formula>
    </cfRule>
    <cfRule type="expression" dxfId="67" priority="69">
      <formula>$AH40="特別休業"</formula>
    </cfRule>
  </conditionalFormatting>
  <conditionalFormatting sqref="E40:O41">
    <cfRule type="expression" dxfId="66" priority="59">
      <formula>$AH40="シフト休"</formula>
    </cfRule>
    <cfRule type="expression" dxfId="65" priority="60">
      <formula>$AH40="シフト出勤"</formula>
    </cfRule>
    <cfRule type="expression" dxfId="64" priority="61">
      <formula>$AH40="欠勤"</formula>
    </cfRule>
    <cfRule type="expression" dxfId="63" priority="62">
      <formula>$AH40="有給"</formula>
    </cfRule>
    <cfRule type="expression" dxfId="62" priority="63">
      <formula>$AH40="代休"</formula>
    </cfRule>
    <cfRule type="expression" dxfId="61" priority="64">
      <formula>$AH40="休日出勤"</formula>
    </cfRule>
  </conditionalFormatting>
  <conditionalFormatting sqref="E40:O41">
    <cfRule type="expression" dxfId="60" priority="65">
      <formula>$AH40="祝日"</formula>
    </cfRule>
    <cfRule type="expression" dxfId="59" priority="66">
      <formula>$C40="日"</formula>
    </cfRule>
    <cfRule type="expression" dxfId="58" priority="67">
      <formula>$C40="土"</formula>
    </cfRule>
  </conditionalFormatting>
  <conditionalFormatting sqref="E40:O41">
    <cfRule type="expression" dxfId="57" priority="57">
      <formula>$AH40="慶弔休暇"</formula>
    </cfRule>
    <cfRule type="expression" dxfId="56" priority="58">
      <formula>$AH40="特別休暇"</formula>
    </cfRule>
  </conditionalFormatting>
  <conditionalFormatting sqref="P42:R42">
    <cfRule type="expression" dxfId="55" priority="48">
      <formula>$AH42="シフト休"</formula>
    </cfRule>
    <cfRule type="expression" dxfId="54" priority="49">
      <formula>$AH42="シフト出勤"</formula>
    </cfRule>
    <cfRule type="expression" dxfId="53" priority="50">
      <formula>$AH42="欠勤"</formula>
    </cfRule>
    <cfRule type="expression" dxfId="52" priority="51">
      <formula>$AH42="有給"</formula>
    </cfRule>
    <cfRule type="expression" dxfId="51" priority="52">
      <formula>$AH42="代休"</formula>
    </cfRule>
    <cfRule type="expression" dxfId="50" priority="53">
      <formula>$AH42="休日出勤"</formula>
    </cfRule>
  </conditionalFormatting>
  <conditionalFormatting sqref="P42:R42">
    <cfRule type="expression" dxfId="49" priority="54">
      <formula>$AH42="祝日"</formula>
    </cfRule>
    <cfRule type="expression" dxfId="48" priority="55">
      <formula>$C42="日"</formula>
    </cfRule>
    <cfRule type="expression" dxfId="47" priority="56">
      <formula>$C42="土"</formula>
    </cfRule>
  </conditionalFormatting>
  <conditionalFormatting sqref="P42:R42">
    <cfRule type="expression" dxfId="46" priority="46">
      <formula>$AH42="慶弔休暇"</formula>
    </cfRule>
    <cfRule type="expression" dxfId="45" priority="47">
      <formula>$AH42="特別休業"</formula>
    </cfRule>
  </conditionalFormatting>
  <conditionalFormatting sqref="E42:O42">
    <cfRule type="expression" dxfId="44" priority="37">
      <formula>$AH42="シフト休"</formula>
    </cfRule>
    <cfRule type="expression" dxfId="43" priority="38">
      <formula>$AH42="シフト出勤"</formula>
    </cfRule>
    <cfRule type="expression" dxfId="42" priority="39">
      <formula>$AH42="欠勤"</formula>
    </cfRule>
    <cfRule type="expression" dxfId="41" priority="40">
      <formula>$AH42="有給"</formula>
    </cfRule>
    <cfRule type="expression" dxfId="40" priority="41">
      <formula>$AH42="代休"</formula>
    </cfRule>
    <cfRule type="expression" dxfId="39" priority="42">
      <formula>$AH42="休日出勤"</formula>
    </cfRule>
  </conditionalFormatting>
  <conditionalFormatting sqref="E42:O42">
    <cfRule type="expression" dxfId="38" priority="43">
      <formula>$AH42="祝日"</formula>
    </cfRule>
    <cfRule type="expression" dxfId="37" priority="44">
      <formula>$C42="日"</formula>
    </cfRule>
    <cfRule type="expression" dxfId="36" priority="45">
      <formula>$C42="土"</formula>
    </cfRule>
  </conditionalFormatting>
  <conditionalFormatting sqref="E42:O42">
    <cfRule type="expression" dxfId="35" priority="35">
      <formula>$AH42="慶弔休暇"</formula>
    </cfRule>
    <cfRule type="expression" dxfId="34" priority="36">
      <formula>$AH42="特別休暇"</formula>
    </cfRule>
  </conditionalFormatting>
  <conditionalFormatting sqref="E22:O23">
    <cfRule type="expression" dxfId="33" priority="26">
      <formula>$AH22="シフト休"</formula>
    </cfRule>
    <cfRule type="expression" dxfId="32" priority="27">
      <formula>$AH22="シフト出勤"</formula>
    </cfRule>
    <cfRule type="expression" dxfId="31" priority="28">
      <formula>$AH22="欠勤"</formula>
    </cfRule>
    <cfRule type="expression" dxfId="30" priority="29">
      <formula>$AH22="有給"</formula>
    </cfRule>
    <cfRule type="expression" dxfId="29" priority="30">
      <formula>$AH22="代休"</formula>
    </cfRule>
    <cfRule type="expression" dxfId="28" priority="31">
      <formula>$AH22="休日出勤"</formula>
    </cfRule>
  </conditionalFormatting>
  <conditionalFormatting sqref="E22:O23">
    <cfRule type="expression" dxfId="27" priority="32">
      <formula>$AH22="祝日"</formula>
    </cfRule>
    <cfRule type="expression" dxfId="26" priority="33">
      <formula>$C22="日"</formula>
    </cfRule>
    <cfRule type="expression" dxfId="25" priority="34">
      <formula>$C22="土"</formula>
    </cfRule>
  </conditionalFormatting>
  <conditionalFormatting sqref="E22:O23">
    <cfRule type="expression" dxfId="24" priority="24">
      <formula>$AH22="慶弔休暇"</formula>
    </cfRule>
    <cfRule type="expression" dxfId="23" priority="25">
      <formula>$AH22="特別休業"</formula>
    </cfRule>
  </conditionalFormatting>
  <conditionalFormatting sqref="E14:O21">
    <cfRule type="expression" dxfId="22" priority="15">
      <formula>$AH14="シフト休"</formula>
    </cfRule>
    <cfRule type="expression" dxfId="21" priority="16">
      <formula>$AH14="シフト出勤"</formula>
    </cfRule>
    <cfRule type="expression" dxfId="20" priority="17">
      <formula>$AH14="欠勤"</formula>
    </cfRule>
    <cfRule type="expression" dxfId="19" priority="18">
      <formula>$AH14="有給"</formula>
    </cfRule>
    <cfRule type="expression" dxfId="18" priority="19">
      <formula>$AH14="代休"</formula>
    </cfRule>
    <cfRule type="expression" dxfId="17" priority="20">
      <formula>$AH14="休日出勤"</formula>
    </cfRule>
  </conditionalFormatting>
  <conditionalFormatting sqref="E14:O21">
    <cfRule type="expression" dxfId="16" priority="21">
      <formula>$AH14="祝日"</formula>
    </cfRule>
    <cfRule type="expression" dxfId="15" priority="22">
      <formula>$C14="日"</formula>
    </cfRule>
    <cfRule type="expression" dxfId="14" priority="23">
      <formula>$C14="土"</formula>
    </cfRule>
  </conditionalFormatting>
  <conditionalFormatting sqref="E14:O21">
    <cfRule type="expression" dxfId="13" priority="13">
      <formula>$AH14="慶弔休暇"</formula>
    </cfRule>
    <cfRule type="expression" dxfId="12" priority="14">
      <formula>$AH14="特別休暇"</formula>
    </cfRule>
  </conditionalFormatting>
  <conditionalFormatting sqref="I24:O24">
    <cfRule type="expression" dxfId="11" priority="4">
      <formula>$AH24="シフト休"</formula>
    </cfRule>
    <cfRule type="expression" dxfId="10" priority="5">
      <formula>$AH24="シフト出勤"</formula>
    </cfRule>
    <cfRule type="expression" dxfId="9" priority="6">
      <formula>$AH24="欠勤"</formula>
    </cfRule>
    <cfRule type="expression" dxfId="8" priority="7">
      <formula>$AH24="有給"</formula>
    </cfRule>
    <cfRule type="expression" dxfId="7" priority="8">
      <formula>$AH24="代休"</formula>
    </cfRule>
    <cfRule type="expression" dxfId="6" priority="9">
      <formula>$AH24="休日出勤"</formula>
    </cfRule>
  </conditionalFormatting>
  <conditionalFormatting sqref="I24:O24">
    <cfRule type="expression" dxfId="5" priority="10">
      <formula>$AH24="祝日"</formula>
    </cfRule>
    <cfRule type="expression" dxfId="4" priority="11">
      <formula>$C24="日"</formula>
    </cfRule>
    <cfRule type="expression" dxfId="3" priority="12">
      <formula>$C24="土"</formula>
    </cfRule>
  </conditionalFormatting>
  <conditionalFormatting sqref="I24:O24">
    <cfRule type="expression" dxfId="2" priority="2">
      <formula>$AH24="慶弔休暇"</formula>
    </cfRule>
    <cfRule type="expression" dxfId="1" priority="3">
      <formula>$AH24="特別休業"</formula>
    </cfRule>
  </conditionalFormatting>
  <conditionalFormatting sqref="A12:AZ42">
    <cfRule type="expression" dxfId="0" priority="1">
      <formula>$AH12="有給/欠勤"</formula>
    </cfRule>
  </conditionalFormatting>
  <dataValidations count="3">
    <dataValidation type="list" allowBlank="1" showInputMessage="1" showErrorMessage="1" sqref="AH12:AK42" xr:uid="{00000000-0002-0000-0100-000000000000}">
      <formula1>"有給,特別休業,代休,欠勤,遅刻,早退,徹夜,シフト出勤,シフト休,祝日,休日出勤,慶弔休暇,有給/欠勤,その他"</formula1>
    </dataValidation>
    <dataValidation type="list" allowBlank="1" showInputMessage="1" showErrorMessage="1" sqref="AY13:AZ42" xr:uid="{EBFA7ED9-D75A-4C0C-851E-C92AB38F23DF}">
      <formula1>"ー,〇,×"</formula1>
    </dataValidation>
    <dataValidation type="list" allowBlank="1" showInputMessage="1" showErrorMessage="1" sqref="AY12:AZ12" xr:uid="{24688845-C615-43DD-ACB9-64EA0334F3E2}">
      <formula1>"-,〇,×"</formula1>
    </dataValidation>
  </dataValidations>
  <printOptions horizontalCentered="1" verticalCentered="1"/>
  <pageMargins left="0.19685039370078741" right="0.19685039370078741" top="0.39370078740157483" bottom="0.59055118110236227" header="0.19685039370078741" footer="0.19685039370078741"/>
  <pageSetup paperSize="9" scale="73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実績表_サンプル</vt:lpstr>
      <vt:lpstr>実績表</vt:lpstr>
      <vt:lpstr>実績表!Print_Area</vt:lpstr>
      <vt:lpstr>実績表_サンプル!Print_Area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Keisuke.maeda</dc:creator>
  <cp:lastModifiedBy>taro</cp:lastModifiedBy>
  <cp:lastPrinted>2018-05-25T00:56:31Z</cp:lastPrinted>
  <dcterms:created xsi:type="dcterms:W3CDTF">2016-10-11T11:17:11Z</dcterms:created>
  <dcterms:modified xsi:type="dcterms:W3CDTF">2020-06-21T15:05:13Z</dcterms:modified>
</cp:coreProperties>
</file>